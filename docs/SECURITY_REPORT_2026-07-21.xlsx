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指摘一覧" sheetId="2" state="visible" r:id="rId2"/>
    <sheet name="チェック結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1F4E78"/>
      <sz val="16"/>
    </font>
    <font>
      <name val="Yu Gothic"/>
      <color rgb="00000000"/>
      <sz val="10"/>
    </font>
    <font>
      <name val="Yu Gothic"/>
      <b val="1"/>
      <color rgb="00C00000"/>
      <sz val="11"/>
    </font>
    <font>
      <name val="Yu Gothic"/>
      <b val="1"/>
      <color rgb="00000000"/>
      <sz val="12"/>
    </font>
    <font>
      <name val="Yu Gothic"/>
      <b val="1"/>
      <color rgb="00FFFFFF"/>
      <sz val="11"/>
    </font>
    <font>
      <name val="Yu Gothic"/>
      <b val="1"/>
      <color rgb="00000000"/>
      <sz val="11"/>
    </font>
    <font>
      <name val="Yu Gothic"/>
      <color rgb="00000000"/>
      <sz val="11"/>
    </font>
    <font>
      <name val="Yu Gothic"/>
      <b val="1"/>
      <color rgb="00000000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</cols>
  <sheetData>
    <row r="1">
      <c r="A1" s="1" t="inlineStr">
        <is>
          <t>セキュリティチェック レポート（りなれす（rinaresu））</t>
        </is>
      </c>
    </row>
    <row r="2">
      <c r="A2" s="2" t="inlineStr">
        <is>
          <t>実施日: 2026-07-21 / 対象: frontend=Next.js16(standalone SSR) / backend=FastAPI+SQLAlchemy / Azure Container Apps</t>
        </is>
      </c>
    </row>
    <row r="3">
      <c r="A3" s="3" t="inlineStr">
        <is>
          <t>総合判定: 初回判定=本番運用不可（要修正）→ Blocker2/High1（F-1/F-2/F-3）を方式B（署名付きセッション通行証）で修正し v7 本番デプロイ済み＝認証・認可のエンプラ最低ライン充足。5種すべて実施済み。CSPM/DAST に致命傷なし。残は F-4/F-5＋新規 Low3（F-6/F-7/F-8）＝次段・任意。</t>
        </is>
      </c>
    </row>
    <row r="5">
      <c r="A5" s="4" t="inlineStr">
        <is>
          <t>■ 深刻度サマリ</t>
        </is>
      </c>
    </row>
    <row r="6">
      <c r="A6" s="5" t="inlineStr">
        <is>
          <t>深刻度</t>
        </is>
      </c>
      <c r="B6" s="5" t="inlineStr">
        <is>
          <t>件数</t>
        </is>
      </c>
      <c r="C6" s="5" t="inlineStr">
        <is>
          <t>説明</t>
        </is>
      </c>
    </row>
    <row r="7">
      <c r="A7" s="6" t="inlineStr">
        <is>
          <t>Blocker</t>
        </is>
      </c>
      <c r="B7" s="7">
        <f>COUNTIF(指摘一覧!C:C,"Blocker")</f>
        <v/>
      </c>
      <c r="C7" s="8" t="inlineStr">
        <is>
          <t>本番前に必ず修正</t>
        </is>
      </c>
    </row>
    <row r="8">
      <c r="A8" s="9" t="inlineStr">
        <is>
          <t>High</t>
        </is>
      </c>
      <c r="B8" s="7">
        <f>COUNTIF(指摘一覧!C:C,"High")</f>
        <v/>
      </c>
      <c r="C8" s="8" t="inlineStr">
        <is>
          <t>対応推奨</t>
        </is>
      </c>
    </row>
    <row r="9">
      <c r="A9" s="10" t="inlineStr">
        <is>
          <t>Medium</t>
        </is>
      </c>
      <c r="B9" s="7">
        <f>COUNTIF(指摘一覧!C:C,"Medium")</f>
        <v/>
      </c>
      <c r="C9" s="8" t="inlineStr">
        <is>
          <t>影響評価のうえ対応</t>
        </is>
      </c>
    </row>
    <row r="10">
      <c r="A10" s="11" t="inlineStr">
        <is>
          <t>Low</t>
        </is>
      </c>
      <c r="B10" s="7">
        <f>COUNTIF(指摘一覧!C:C,"Low")</f>
        <v/>
      </c>
      <c r="C10" s="8" t="inlineStr">
        <is>
          <t>多層防御・任意（本番前）</t>
        </is>
      </c>
    </row>
    <row r="11">
      <c r="A11" s="12" t="inlineStr">
        <is>
          <t>クリア</t>
        </is>
      </c>
      <c r="B11" s="7">
        <f>COUNTIF(指摘一覧!C:C,"クリア")</f>
        <v/>
      </c>
      <c r="C11" s="8" t="inlineStr">
        <is>
          <t>確認の結果 問題なし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40" customWidth="1" min="4" max="4"/>
    <col width="42" customWidth="1" min="5" max="5"/>
    <col width="12" customWidth="1" min="6" max="6"/>
    <col width="40" customWidth="1" min="7" max="7"/>
    <col width="16" customWidth="1" min="8" max="8"/>
  </cols>
  <sheetData>
    <row r="1">
      <c r="A1" s="13" t="inlineStr">
        <is>
          <t>■ 指摘一覧（深刻度順）</t>
        </is>
      </c>
    </row>
    <row r="3">
      <c r="A3" s="5" t="inlineStr">
        <is>
          <t>ID</t>
        </is>
      </c>
      <c r="B3" s="5" t="inlineStr">
        <is>
          <t>種別/観点</t>
        </is>
      </c>
      <c r="C3" s="5" t="inlineStr">
        <is>
          <t>深刻度</t>
        </is>
      </c>
      <c r="D3" s="5" t="inlineStr">
        <is>
          <t>概要</t>
        </is>
      </c>
      <c r="E3" s="5" t="inlineStr">
        <is>
          <t>根拠・箇所</t>
        </is>
      </c>
      <c r="F3" s="5" t="inlineStr">
        <is>
          <t>対応要否</t>
        </is>
      </c>
      <c r="G3" s="5" t="inlineStr">
        <is>
          <t>推奨対応</t>
        </is>
      </c>
      <c r="H3" s="5" t="inlineStr">
        <is>
          <t>ステータス</t>
        </is>
      </c>
    </row>
    <row r="4">
      <c r="A4" s="8" t="inlineStr">
        <is>
          <t>F-1</t>
        </is>
      </c>
      <c r="B4" s="8" t="inlineStr">
        <is>
          <t>Broken Auth / なりすまし</t>
        </is>
      </c>
      <c r="C4" s="6" t="inlineStr">
        <is>
          <t>Blocker</t>
        </is>
      </c>
      <c r="D4" s="8" t="inlineStr">
        <is>
          <t>API認証が X-User-Id 整数ヘッダーを主キーに直結するだけでトークン検証なし → 攻撃者は連番IDを差し替えるだけで任意ユーザーになりすまし、端末登録・送付・受領（ポイント/ランク付与）・推し変更まで実行できる（メンター指摘の抜け道2）。</t>
        </is>
      </c>
      <c r="E4" s="8" t="inlineStr">
        <is>
          <t>backend/app/deps.py:16-38（get_current_user は db.get(User, x_user_id) のみ）。実証: tests/test_idor_manual.py test_impersonation_via_header_succeeds（X-User-Id:1で GET /api/devices→200）/ test_patch_me_as_impersonated_victim（PATCH /api/users/me→200で他人の推し改ざん）。</t>
        </is>
      </c>
      <c r="F4" s="8" t="inlineStr">
        <is>
          <t>完了（v7）</t>
        </is>
      </c>
      <c r="G4" s="8" t="inlineStr">
        <is>
          <t>毎リクエストで検証可能な資格情報に移行する。→ ①Google IDトークン(credential)を毎回 Authorization: Bearer で送りサーバで verify_google_credential 検証 → sub からユーザー解決、または②ログイン時に発行する署名付きセッショントークン(JWT/HttpOnly Cookie)を検証。X-User-Id 直結は撤廃。get_current_user の一点差し替えで各ルーターは無改変。</t>
        </is>
      </c>
      <c r="H4" s="8" t="inlineStr">
        <is>
          <t>対応済み（v7・本番デプロイ済み）</t>
        </is>
      </c>
    </row>
    <row r="5">
      <c r="A5" s="8" t="inlineStr">
        <is>
          <t>F-2</t>
        </is>
      </c>
      <c r="B5" s="8" t="inlineStr">
        <is>
          <t>IDOR / PII露出（認証欠如）</t>
        </is>
      </c>
      <c r="C5" s="6" t="inlineStr">
        <is>
          <t>Blocker</t>
        </is>
      </c>
      <c r="D5" s="8" t="inlineStr">
        <is>
          <t>ユーザー系 GET が一切認証を要求しない → ヘッダーすら不要で連番IDを回すだけで全ユーザーの email・端末/送付履歴を一括収集できる。GET /api/users は全ユーザー＋emailを列挙。</t>
        </is>
      </c>
      <c r="E5" s="8" t="inlineStr">
        <is>
          <t>backend/app/routers/users.py：list_users(35) / get_user(123) / get_user_comment(132) / get_user_history(168) いずれも get_current_user 非依存。実証: test_user_list_dumps_all_users_without_auth（no auth で全ユーザー+email）/ test_user_detail_leaks_pii_without_auth（/api/users/1→victim@example.com）/ test_user_history_has_no_auth（/api/users/1/history→他人の端末・送付履歴 200）。</t>
        </is>
      </c>
      <c r="F5" s="8" t="inlineStr">
        <is>
          <t>完了（v7）</t>
        </is>
      </c>
      <c r="G5" s="8" t="inlineStr">
        <is>
          <t>ユーザー系エンドポイントに get_current_user を必須化し、閲覧対象を本人(current_user.id==path id)に限定 or /users/me 化する。一覧(list_users)は仮ID選択式ログインの名残で用途消滅 → 削除。email は本人のみに返す。F-1 の認証強化とセットで実施。</t>
        </is>
      </c>
      <c r="H5" s="8" t="inlineStr">
        <is>
          <t>対応済み（v7・本番デプロイ済み）</t>
        </is>
      </c>
    </row>
    <row r="6">
      <c r="A6" s="8" t="inlineStr">
        <is>
          <t>F-3</t>
        </is>
      </c>
      <c r="B6" s="8" t="inlineStr">
        <is>
          <t>IDOR / 文書露出</t>
        </is>
      </c>
      <c r="C6" s="9" t="inlineStr">
        <is>
          <t>High</t>
        </is>
      </c>
      <c r="D6" s="8" t="inlineStr">
        <is>
          <t>GET /api/shipments/{id}/pdf が無認証 → 連番 shipment_id を回すだけで他人の送付伝票PDF（仮ID・ニックネーム・端末一覧・QR）を取得できる。CLAUDE.md にも残課題として既記載。</t>
        </is>
      </c>
      <c r="E6" s="8" t="inlineStr">
        <is>
          <t>backend/app/routers/shipments.py:140-151（get_current_user 非依存で FileResponse）。PDF内容: backend/app/services/slip_pdf.py:95（仮ID・ニックネーム）。※固定の集荷/宛先住所のみで個人宅住所は含まない → PII影響は氏名相当に限定。</t>
        </is>
      </c>
      <c r="F6" s="8" t="inlineStr">
        <is>
          <t>完了（v7）</t>
        </is>
      </c>
      <c r="G6" s="8" t="inlineStr">
        <is>
          <t>get_current_user を必須化し shipment.user_id==current_user.id を検証（receive/share-text と同じスコープ判定に揃える）。新規タブ表示は署名付き短命URL or 本人トークン付き取得に変更。</t>
        </is>
      </c>
      <c r="H6" s="8" t="inlineStr">
        <is>
          <t>対応済み（v7・本番デプロイ済み）</t>
        </is>
      </c>
    </row>
    <row r="7">
      <c r="A7" s="8" t="inlineStr">
        <is>
          <t>F-4</t>
        </is>
      </c>
      <c r="B7" s="8" t="inlineStr">
        <is>
          <t>SCA / 依存の既知脆弱性</t>
        </is>
      </c>
      <c r="C7" s="10" t="inlineStr">
        <is>
          <t>Medium</t>
        </is>
      </c>
      <c r="D7" s="8" t="inlineStr">
        <is>
          <t>backend 18件（python-multipart 0.0.9・starlette 0.38.6・requests 2.32.3）／frontend 3件（brace-expansion:high・postcss:moderate・next:moderate）。RCE/認可欠陥はなくDoS中心だが、python-multipart は POST /api/devices/classify のアップロード解析経路で到達可能。</t>
        </is>
      </c>
      <c r="E7" s="8" t="inlineStr">
        <is>
          <t>pip-audit -r backend/requirements.txt（18件・要 fix: python-multipart&gt;=0.0.31, starlette&gt;=0.40, requests&gt;=2.32.4）／npm audit frontend（brace-expansion&lt;1.1.16 DoS, postcss&lt;8.5.10 XSS-in-stringify=ビルド時, next transitive）。</t>
        </is>
      </c>
      <c r="F7" s="8" t="inlineStr">
        <is>
          <t>任意（本番前に締め推奨）</t>
        </is>
      </c>
      <c r="G7" s="8" t="inlineStr">
        <is>
          <t>backend: python-multipart・requests を最新化、starlette は fastapi 更新に追随。frontend: npm audit fix（brace-expansion/postcss、next はマイナー更新）。更新後に既存動作を回帰確認。</t>
        </is>
      </c>
      <c r="H7" s="8" t="inlineStr">
        <is>
          <t>未対応</t>
        </is>
      </c>
    </row>
    <row r="8">
      <c r="A8" s="8" t="inlineStr">
        <is>
          <t>F-5</t>
        </is>
      </c>
      <c r="B8" s="8" t="inlineStr">
        <is>
          <t>多層防御 / 設定</t>
        </is>
      </c>
      <c r="C8" s="11" t="inlineStr">
        <is>
          <t>Low</t>
        </is>
      </c>
      <c r="D8" s="8" t="inlineStr">
        <is>
          <t>①dev受領API（POST /api/dev/shipments/{id}/receive・無認証でポイント付与）が ENABLE_DEV_API=0 の環境変数1本のみで無効化 → 設定ミス時に全送付を受領=不正ポイント付与できる。②CORS allow_credentials=True はヘッダー認証方式では不要（Cookie未使用）。</t>
        </is>
      </c>
      <c r="E8" s="8" t="inlineStr">
        <is>
          <t>backend/app/routers/dev.py:19-32（認証なし）＋ main.py:53（env ガード）／main.py:31-37（allow_credentials=True）。</t>
        </is>
      </c>
      <c r="F8" s="8" t="inlineStr">
        <is>
          <t>任意</t>
        </is>
      </c>
      <c r="G8" s="8" t="inlineStr">
        <is>
          <t>dev router は本番ビルドから物理的に除外 or 受領に内部認証（署名/管理者権限）を付与。CORS allow_credentials は false に（現行はヘッダー認証でCookie不要）。</t>
        </is>
      </c>
      <c r="H8" s="8" t="inlineStr">
        <is>
          <t>未対応</t>
        </is>
      </c>
    </row>
    <row r="9">
      <c r="A9" s="8" t="inlineStr">
        <is>
          <t>F-6</t>
        </is>
      </c>
      <c r="B9" s="8" t="inlineStr">
        <is>
          <t>DAST / セキュリティヘッダ</t>
        </is>
      </c>
      <c r="C9" s="11" t="inlineStr">
        <is>
          <t>Low</t>
        </is>
      </c>
      <c r="D9" s="8" t="inlineStr">
        <is>
          <t>本番 web・API とも主要セキュリティヘッダが未設定（CSP・HSTS・X-Frame-Options・X-Content-Type-Options・Permissions-Policy・COEP）。加えて X-Powered-By: Next.js / server: uvicorn のバナー露出。→ 多層防御の不足（実脆弱性ではない）。</t>
        </is>
      </c>
      <c r="E9" s="8" t="inlineStr">
        <is>
          <t>ZAP baseline（本番web受動）0 FAIL / 10 WARN / 57 PASS＝WARN は全て上記ヘッダ不足。curl 実測でも web は cache-control のみ返し CSP/HSTS/X-Frame 等は不在。ZAP api-scan（ローカル能動）でも X-Content-Type-Options 欠落を検出。</t>
        </is>
      </c>
      <c r="F9" s="8" t="inlineStr">
        <is>
          <t>任意（本番前に締め推奨）</t>
        </is>
      </c>
      <c r="G9" s="8" t="inlineStr">
        <is>
          <t>Next.js（next.config の headers）と FastAPI（ミドルウェア）で共通ヘッダを付与: CSP, Strict-Transport-Security, X-Frame-Options=DENY, X-Content-Type-Options=nosniff, Referrer-Policy, Permissions-Policy。X-Powered-By は無効化（poweredByHeader:false）。</t>
        </is>
      </c>
      <c r="H9" s="8" t="inlineStr">
        <is>
          <t>未対応</t>
        </is>
      </c>
    </row>
    <row r="10">
      <c r="A10" s="8" t="inlineStr">
        <is>
          <t>F-7</t>
        </is>
      </c>
      <c r="B10" s="8" t="inlineStr">
        <is>
          <t>CSPM / Storage</t>
        </is>
      </c>
      <c r="C10" s="11" t="inlineStr">
        <is>
          <t>Low</t>
        </is>
      </c>
      <c r="D10" s="8" t="inlineStr">
        <is>
          <t>Storage アカウント strinaresua37c の最小 TLS バージョンが TLS1_0（弱い下限）。→ 古い TLS でのアクセスを許容する。良い点: 匿名 BLOB 無効・HTTPS強制は有効。</t>
        </is>
      </c>
      <c r="E10" s="8" t="inlineStr">
        <is>
          <t>az storage account show: allowBlobPublicAccess=false（良）/ enableHttpsTrafficOnly=true（良）/ minimumTlsVersion=TLS1_0（要改善）。</t>
        </is>
      </c>
      <c r="F10" s="8" t="inlineStr">
        <is>
          <t>任意</t>
        </is>
      </c>
      <c r="G10" s="8" t="inlineStr">
        <is>
          <t>最小 TLS を TLS1_2 に引き上げる（ポータル or az storage account update。※本レビューは読み取りのみのため未実施）。既存クライアント（API コンテナ）は TLS1_2 対応済みで影響なし。</t>
        </is>
      </c>
      <c r="H10" s="8" t="inlineStr">
        <is>
          <t>未対応</t>
        </is>
      </c>
    </row>
    <row r="11">
      <c r="A11" s="8" t="inlineStr">
        <is>
          <t>F-8</t>
        </is>
      </c>
      <c r="B11" s="8" t="inlineStr">
        <is>
          <t>CSPM / ネットワーク露出</t>
        </is>
      </c>
      <c r="C11" s="11" t="inlineStr">
        <is>
          <t>Low</t>
        </is>
      </c>
      <c r="D11" s="8" t="inlineStr">
        <is>
          <t>データストア（Storage・PostgreSQL）がともに publicNetworkAccess 有効。→ ただし Storage は匿名無効、PostgreSQL は全開放ルール無し（Azureサービス許可のみ）＋SSL強制ON のため致命傷はなし。多層防御として VNet 統合の余地。</t>
        </is>
      </c>
      <c r="E11" s="8" t="inlineStr">
        <is>
          <t>PostgreSQL psql-rinaresua37c: publicNetworkAccess=Enabled / firewall=AllowAllAzureServices(0.0.0.0-0.0.0.0のみ・全開放ルール無し) / require_secure_transport=on（SSL強制・良）/ v16。Storage: publicNetworkAccess 既定Enabled / networkRuleSet defaultAction=Allow。Container Apps: api・web とも external=true / allowInsecure=false（HTTPS強制・良）。</t>
        </is>
      </c>
      <c r="F11" s="8" t="inlineStr">
        <is>
          <t>任意</t>
        </is>
      </c>
      <c r="G11" s="8" t="inlineStr">
        <is>
          <t>本番強化時は Storage/PostgreSQL を Private Endpoint + VNet 統合にし公開ネットワークを無効化。現状は致命傷ではないため優先度 Low。※ API Container App の external=true は、ブラウザが直接 API を叩く構成のため設計上必要（F-1/F-2 の公開露出を増幅する点は認証強化=F-1/F-2 の修正で解消）。</t>
        </is>
      </c>
      <c r="H11" s="8" t="inlineStr">
        <is>
          <t>未対応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52" customWidth="1" min="4" max="4"/>
  </cols>
  <sheetData>
    <row r="1">
      <c r="A1" s="13" t="inlineStr">
        <is>
          <t>■ チェック結果 詳細（5種すべて実施）</t>
        </is>
      </c>
    </row>
    <row r="3">
      <c r="A3" s="5" t="inlineStr">
        <is>
          <t>チェック</t>
        </is>
      </c>
      <c r="B3" s="5" t="inlineStr">
        <is>
          <t>対象</t>
        </is>
      </c>
      <c r="C3" s="5" t="inlineStr">
        <is>
          <t>実測</t>
        </is>
      </c>
      <c r="D3" s="5" t="inlineStr">
        <is>
          <t>判定・備考</t>
        </is>
      </c>
    </row>
    <row r="4">
      <c r="A4" s="8" t="inlineStr">
        <is>
          <t>① SCA frontend</t>
        </is>
      </c>
      <c r="B4" s="8" t="inlineStr">
        <is>
          <t>package.json（npm audit）</t>
        </is>
      </c>
      <c r="C4" s="8" t="inlineStr">
        <is>
          <t>3件（High 1 / Moderate 2）</t>
        </is>
      </c>
      <c r="D4" s="8" t="inlineStr">
        <is>
          <t>brace-expansion=DoS、postcss=ビルド時XSS、next=transitive。本番実害は限定的→F-4</t>
        </is>
      </c>
    </row>
    <row r="5">
      <c r="A5" s="8" t="inlineStr">
        <is>
          <t>① SCA backend</t>
        </is>
      </c>
      <c r="B5" s="8" t="inlineStr">
        <is>
          <t>requirements.txt（pip-audit）</t>
        </is>
      </c>
      <c r="C5" s="8" t="inlineStr">
        <is>
          <t>18件（python-multipart / starlette / requests）</t>
        </is>
      </c>
      <c r="D5" s="8" t="inlineStr">
        <is>
          <t>DoS中心・RCE/認可欠陥なし。python-multipart は upload 経路で到達可→F-4</t>
        </is>
      </c>
    </row>
    <row r="6">
      <c r="A6" s="8" t="inlineStr">
        <is>
          <t>② SAST</t>
        </is>
      </c>
      <c r="B6" s="8" t="inlineStr">
        <is>
          <t>Semgrep（p/security-audit,secrets,python,js,ts）</t>
        </is>
      </c>
      <c r="C6" s="8" t="inlineStr">
        <is>
          <t>0件（52ファイル走査・エラー0）</t>
        </is>
      </c>
      <c r="D6" s="8" t="inlineStr">
        <is>
          <t>真陽性の秘匿値/SQLi/XSS/パストラバーサル無し。手動レビュー結果と一致。本丸は認可設計＝F-1〜F-3</t>
        </is>
      </c>
    </row>
    <row r="7">
      <c r="A7" s="8" t="inlineStr">
        <is>
          <t>③ CSPM Storage</t>
        </is>
      </c>
      <c r="B7" s="8" t="inlineStr">
        <is>
          <t>strinaresua37c</t>
        </is>
      </c>
      <c r="C7" s="8" t="inlineStr">
        <is>
          <t>匿名BLOB=無効 / HTTPS強制=ON / 最小TLS=TLS1_0</t>
        </is>
      </c>
      <c r="D7" s="8" t="inlineStr">
        <is>
          <t>匿名無効は良。TLS下限は要引き上げ→F-7。公開NW露出→F-8(Low)</t>
        </is>
      </c>
    </row>
    <row r="8">
      <c r="A8" s="8" t="inlineStr">
        <is>
          <t>③ CSPM PostgreSQL</t>
        </is>
      </c>
      <c r="B8" s="8" t="inlineStr">
        <is>
          <t>psql-rinaresua37c（v16）</t>
        </is>
      </c>
      <c r="C8" s="8" t="inlineStr">
        <is>
          <t>全開放ルール無し / SSL強制=ON / publicNW=有効</t>
        </is>
      </c>
      <c r="D8" s="8" t="inlineStr">
        <is>
          <t>致命傷なし（Azureサービス許可のみ・SSL強制ON）。公開NW露出はF-8(Low)</t>
        </is>
      </c>
    </row>
    <row r="9">
      <c r="A9" s="8" t="inlineStr">
        <is>
          <t>③ CSPM Container Apps</t>
        </is>
      </c>
      <c r="B9" s="8" t="inlineStr">
        <is>
          <t>ca-rinaresu-api / -web</t>
        </is>
      </c>
      <c r="C9" s="8" t="inlineStr">
        <is>
          <t>external=true / allowInsecure=false（HTTPS強制）</t>
        </is>
      </c>
      <c r="D9" s="8" t="inlineStr">
        <is>
          <t>HTTPS強制は良。API公開露出がF-1/F-2を増幅（認証強化で解消）</t>
        </is>
      </c>
    </row>
    <row r="10">
      <c r="A10" s="8" t="inlineStr">
        <is>
          <t>③ CSPM Defender</t>
        </is>
      </c>
      <c r="B10" s="8" t="inlineStr">
        <is>
          <t>Defender for Cloud 推奨事項/セキュアスコア</t>
        </is>
      </c>
      <c r="C10" s="8" t="inlineStr">
        <is>
          <t>az では未取得（要ポータル）</t>
        </is>
      </c>
      <c r="D10" s="8" t="inlineStr">
        <is>
          <t>統括アクションカードで確認。課金ガード=Defender有料プランはOnにしない</t>
        </is>
      </c>
    </row>
    <row r="11">
      <c r="A11" s="8" t="inlineStr">
        <is>
          <t>④ DAST baseline</t>
        </is>
      </c>
      <c r="B11" s="8" t="inlineStr">
        <is>
          <t>本番web（受動・ZAP）</t>
        </is>
      </c>
      <c r="C11" s="8" t="inlineStr">
        <is>
          <t>0 FAIL / 10 WARN / 57 PASS</t>
        </is>
      </c>
      <c r="D11" s="8" t="inlineStr">
        <is>
          <t>実脆弱性ゼロ。WARN=セキュリティヘッダ不足→F-6</t>
        </is>
      </c>
    </row>
    <row r="12">
      <c r="A12" s="8" t="inlineStr">
        <is>
          <t>④ DAST API</t>
        </is>
      </c>
      <c r="B12" s="8" t="inlineStr">
        <is>
          <t>ローカルbackend（能動・ZAP api-scan）</t>
        </is>
      </c>
      <c r="C12" s="8" t="inlineStr">
        <is>
          <t>0 FAIL / 2 WARN / 116 PASS</t>
        </is>
      </c>
      <c r="D12" s="8" t="inlineStr">
        <is>
          <t>injection系全PASS。coverage=公開面のみ（認証EPは401で未到達）</t>
        </is>
      </c>
    </row>
    <row r="13">
      <c r="A13" s="8" t="inlineStr">
        <is>
          <t>⑤ 手動IDOR</t>
        </is>
      </c>
      <c r="B13" s="8" t="inlineStr">
        <is>
          <t>pytest test_idor_manual.py</t>
        </is>
      </c>
      <c r="C13" s="8" t="inlineStr">
        <is>
          <t>10件 PASS（全ケース）</t>
        </is>
      </c>
      <c r="D13" s="8" t="inlineStr">
        <is>
          <t>認証は偽造可＝F-1、無認証GET群＝F-2/F-3。操作系のowner scopeは404で防御OK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2026-07-21T06:54:16Z</dcterms:created>
  <dcterms:modified xsi:type="dcterms:W3CDTF">2026-07-21T06:54:16Z</dcterms:modified>
</cp:coreProperties>
</file>