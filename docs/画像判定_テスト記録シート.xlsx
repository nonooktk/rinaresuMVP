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記録シート" sheetId="2" state="visible" r:id="rId4"/>
    <sheet name="集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<sst xmlns="http://schemas.openxmlformats.org/spreadsheetml/2006/main" count="347" uniqueCount="99">
  <si>
    <t xml:space="preserve">画像判定 人力テスト 記録シートの使い方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</si>
  <si>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JP"/>
        <family val="2"/>
      </rPr>
      <t xml:space="preserve">自分の担当（</t>
    </r>
    <r>
      <rPr>
        <sz val="10"/>
        <rFont val="Arial"/>
        <family val="0"/>
        <charset val="1"/>
      </rPr>
      <t xml:space="preserve">A/B/C</t>
    </r>
    <r>
      <rPr>
        <sz val="10"/>
        <rFont val="Noto Sans CJK JP"/>
        <family val="2"/>
      </rPr>
      <t xml:space="preserve">）の行を「記録シート」タブで探す（担当列の色</t>
    </r>
    <r>
      <rPr>
        <sz val="10"/>
        <rFont val="Arial"/>
        <family val="0"/>
        <charset val="1"/>
      </rPr>
      <t xml:space="preserve">: A=</t>
    </r>
    <r>
      <rPr>
        <sz val="10"/>
        <rFont val="Noto Sans CJK JP"/>
        <family val="2"/>
      </rPr>
      <t xml:space="preserve">ピンク </t>
    </r>
    <r>
      <rPr>
        <sz val="10"/>
        <rFont val="Arial"/>
        <family val="0"/>
        <charset val="1"/>
      </rPr>
      <t xml:space="preserve">/ B=</t>
    </r>
    <r>
      <rPr>
        <sz val="10"/>
        <rFont val="Noto Sans CJK JP"/>
        <family val="2"/>
      </rPr>
      <t xml:space="preserve">ブルー </t>
    </r>
    <r>
      <rPr>
        <sz val="10"/>
        <rFont val="Arial"/>
        <family val="0"/>
        <charset val="1"/>
      </rPr>
      <t xml:space="preserve">/ C=</t>
    </r>
    <r>
      <rPr>
        <sz val="10"/>
        <rFont val="Noto Sans CJK JP"/>
        <family val="2"/>
      </rPr>
      <t xml:space="preserve">グリーン）。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</si>
  <si>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JP"/>
        <family val="2"/>
      </rPr>
      <t xml:space="preserve">正解品目・条件どおりに実物を撮影し、りなれす本番</t>
    </r>
    <r>
      <rPr>
        <sz val="10"/>
        <rFont val="Arial"/>
        <family val="0"/>
        <charset val="1"/>
      </rPr>
      <t xml:space="preserve">Web</t>
    </r>
    <r>
      <rPr>
        <sz val="10"/>
        <rFont val="Noto Sans CJK JP"/>
        <family val="2"/>
      </rPr>
      <t xml:space="preserve">の「デバイス追加」で判定する。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</si>
  <si>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JP"/>
        <family val="2"/>
      </rPr>
      <t xml:space="preserve">画面に出た候補（最大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件）と一致度</t>
    </r>
    <r>
      <rPr>
        <sz val="10"/>
        <rFont val="Arial"/>
        <family val="0"/>
        <charset val="1"/>
      </rPr>
      <t xml:space="preserve">%</t>
    </r>
    <r>
      <rPr>
        <sz val="10"/>
        <rFont val="Noto Sans CJK JP"/>
        <family val="2"/>
      </rPr>
      <t xml:space="preserve">を記録し、「この種類で進む」は押さずに ← もどる で退出（登録しない）。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</si>
  <si>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JP"/>
        <family val="2"/>
      </rPr>
      <t xml:space="preserve">実施日・手動選択の有無・体感応答時間・気づきを記入。「正解が</t>
    </r>
    <r>
      <rPr>
        <sz val="10"/>
        <rFont val="Arial"/>
        <family val="0"/>
        <charset val="1"/>
      </rPr>
      <t xml:space="preserve">1</t>
    </r>
    <r>
      <rPr>
        <sz val="10"/>
        <rFont val="Noto Sans CJK JP"/>
        <family val="2"/>
      </rPr>
      <t xml:space="preserve">位？」「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位以内？」は自動判定。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</si>
  <si>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JP"/>
        <family val="2"/>
      </rPr>
      <t xml:space="preserve">「集計」タブで正解率と合否が自動計算される（</t>
    </r>
    <r>
      <rPr>
        <sz val="10"/>
        <rFont val="Arial"/>
        <family val="0"/>
        <charset val="1"/>
      </rPr>
      <t xml:space="preserve">Day 6 </t>
    </r>
    <r>
      <rPr>
        <sz val="10"/>
        <rFont val="Noto Sans CJK JP"/>
        <family val="2"/>
      </rPr>
      <t xml:space="preserve">にとりまとめが確認）。</t>
    </r>
  </si>
  <si>
    <t xml:space="preserve">▼ 撮影条件コード</t>
  </si>
  <si>
    <t xml:space="preserve">①</t>
  </si>
  <si>
    <t xml:space="preserve">正面・明るい・無地に近い背景（基本形）</t>
  </si>
  <si>
    <t xml:space="preserve">②</t>
  </si>
  <si>
    <r>
      <rPr>
        <sz val="10"/>
        <rFont val="Noto Sans CJK JP"/>
        <family val="2"/>
      </rPr>
      <t xml:space="preserve">斜め</t>
    </r>
    <r>
      <rPr>
        <sz val="10"/>
        <rFont val="Arial"/>
        <family val="0"/>
        <charset val="1"/>
      </rPr>
      <t xml:space="preserve">45</t>
    </r>
    <r>
      <rPr>
        <sz val="10"/>
        <rFont val="Noto Sans CJK JP"/>
        <family val="2"/>
      </rPr>
      <t xml:space="preserve">度から</t>
    </r>
  </si>
  <si>
    <t xml:space="preserve">③</t>
  </si>
  <si>
    <t xml:space="preserve">近接撮影（画面や一部分のみ）</t>
  </si>
  <si>
    <t xml:space="preserve">④</t>
  </si>
  <si>
    <t xml:space="preserve">暗い場所</t>
  </si>
  <si>
    <t xml:space="preserve">⑤</t>
  </si>
  <si>
    <t xml:space="preserve">背景が雑多（散らかった机の上など）</t>
  </si>
  <si>
    <t xml:space="preserve">⑥</t>
  </si>
  <si>
    <t xml:space="preserve">手に持って撮影</t>
  </si>
  <si>
    <t xml:space="preserve">⑦</t>
  </si>
  <si>
    <t xml:space="preserve">ケース・カバー付き／付属品と一緒</t>
  </si>
  <si>
    <t xml:space="preserve">⑧</t>
  </si>
  <si>
    <r>
      <rPr>
        <sz val="10"/>
        <rFont val="Noto Sans CJK JP"/>
        <family val="2"/>
      </rPr>
      <t xml:space="preserve">安定性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同じ写真で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回連続判定（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行に記録）</t>
    </r>
  </si>
  <si>
    <t xml:space="preserve">▼ 注意</t>
  </si>
  <si>
    <t xml:space="preserve">・写真に個人情報（人物・住所・書類）を写し込まない。撮った写真はサーバーに保存される。</t>
  </si>
  <si>
    <t xml:space="preserve">・あだ名の先頭に「テスト」を付けたアカウントを使う。</t>
  </si>
  <si>
    <t xml:space="preserve">・明らかに画像と無関係な候補ばかりが出た場合は、備考に「フォールバック疑い」と書く。</t>
  </si>
  <si>
    <r>
      <rPr>
        <sz val="10"/>
        <rFont val="Noto Sans CJK JP"/>
        <family val="2"/>
      </rPr>
      <t xml:space="preserve">・詳細は同フォルダの「画像判定</t>
    </r>
    <r>
      <rPr>
        <sz val="10"/>
        <rFont val="Arial"/>
        <family val="0"/>
        <charset val="1"/>
      </rPr>
      <t xml:space="preserve">_</t>
    </r>
    <r>
      <rPr>
        <sz val="10"/>
        <rFont val="Noto Sans CJK JP"/>
        <family val="2"/>
      </rPr>
      <t xml:space="preserve">人力テスト計画書</t>
    </r>
    <r>
      <rPr>
        <sz val="10"/>
        <rFont val="Arial"/>
        <family val="0"/>
        <charset val="1"/>
      </rPr>
      <t xml:space="preserve">.md</t>
    </r>
    <r>
      <rPr>
        <sz val="10"/>
        <rFont val="Noto Sans CJK JP"/>
        <family val="2"/>
      </rPr>
      <t xml:space="preserve">」を参照。</t>
    </r>
  </si>
  <si>
    <t xml:space="preserve">No</t>
  </si>
  <si>
    <t xml:space="preserve">担当</t>
  </si>
  <si>
    <t xml:space="preserve">実施日</t>
  </si>
  <si>
    <t xml:space="preserve">正解品目</t>
  </si>
  <si>
    <t xml:space="preserve">条件</t>
  </si>
  <si>
    <t xml:space="preserve">条件の内容</t>
  </si>
  <si>
    <r>
      <rPr>
        <b val="true"/>
        <sz val="10"/>
        <color rgb="FFFFFFFF"/>
        <rFont val="Noto Sans CJK JP"/>
        <family val="2"/>
      </rPr>
      <t xml:space="preserve">候補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JP"/>
        <family val="2"/>
      </rPr>
      <t xml:space="preserve">位</t>
    </r>
  </si>
  <si>
    <r>
      <rPr>
        <b val="true"/>
        <sz val="10"/>
        <color rgb="FFFFFFFF"/>
        <rFont val="Noto Sans CJK JP"/>
        <family val="2"/>
      </rPr>
      <t xml:space="preserve">一致度</t>
    </r>
    <r>
      <rPr>
        <b val="true"/>
        <sz val="10"/>
        <color rgb="FFFFFFFF"/>
        <rFont val="Arial"/>
        <family val="0"/>
        <charset val="1"/>
      </rPr>
      <t xml:space="preserve">%(1</t>
    </r>
    <r>
      <rPr>
        <b val="true"/>
        <sz val="10"/>
        <color rgb="FFFFFFFF"/>
        <rFont val="Noto Sans CJK JP"/>
        <family val="2"/>
      </rPr>
      <t xml:space="preserve">位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</si>
  <si>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JP"/>
        <family val="2"/>
      </rPr>
      <t xml:space="preserve">候補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JP"/>
        <family val="2"/>
      </rPr>
      <t xml:space="preserve">位</t>
    </r>
  </si>
  <si>
    <r>
      <rPr>
        <b val="true"/>
        <sz val="10"/>
        <color rgb="FFFFFFFF"/>
        <rFont val="Noto Sans CJK JP"/>
        <family val="2"/>
      </rPr>
      <t xml:space="preserve">候補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JP"/>
        <family val="2"/>
      </rPr>
      <t xml:space="preserve">位</t>
    </r>
  </si>
  <si>
    <r>
      <rPr>
        <b val="true"/>
        <sz val="10"/>
        <color rgb="FFFFFFFF"/>
        <rFont val="Noto Sans CJK JP"/>
        <family val="2"/>
      </rPr>
      <t xml:space="preserve">正解が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JP"/>
        <family val="2"/>
      </rPr>
      <t xml:space="preserve">位？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</si>
  <si>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JP"/>
        <family val="2"/>
      </rPr>
      <t xml:space="preserve">位以内？</t>
    </r>
  </si>
  <si>
    <r>
      <rPr>
        <b val="true"/>
        <sz val="10"/>
        <color rgb="FFFFFFFF"/>
        <rFont val="Noto Sans CJK JP"/>
        <family val="2"/>
      </rPr>
      <t xml:space="preserve">手動選択</t>
    </r>
    <r>
      <rPr>
        <b val="true"/>
        <sz val="10"/>
        <color rgb="FFFFFFFF"/>
        <rFont val="Arial"/>
        <family val="0"/>
        <charset val="1"/>
      </rPr>
      <t xml:space="preserve">(○)</t>
    </r>
  </si>
  <si>
    <t xml:space="preserve">体感応答時間</t>
  </si>
  <si>
    <t xml:space="preserve">備考</t>
  </si>
  <si>
    <t xml:space="preserve">A</t>
  </si>
  <si>
    <t xml:space="preserve">スマートフォン</t>
  </si>
  <si>
    <t xml:space="preserve">ガラケー</t>
  </si>
  <si>
    <r>
      <rPr>
        <sz val="10"/>
        <rFont val="Noto Sans CJK JP"/>
        <family val="2"/>
      </rPr>
      <t xml:space="preserve">安定性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同じ写真で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回連続判定（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行に記録）（</t>
    </r>
    <r>
      <rPr>
        <sz val="10"/>
        <rFont val="Arial"/>
        <family val="0"/>
        <charset val="1"/>
      </rPr>
      <t xml:space="preserve">1</t>
    </r>
    <r>
      <rPr>
        <sz val="10"/>
        <rFont val="Noto Sans CJK JP"/>
        <family val="2"/>
      </rPr>
      <t xml:space="preserve">回目）</t>
    </r>
  </si>
  <si>
    <r>
      <rPr>
        <sz val="10"/>
        <rFont val="Noto Sans CJK JP"/>
        <family val="2"/>
      </rPr>
      <t xml:space="preserve">安定性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同じ写真で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回連続判定（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行に記録）（</t>
    </r>
    <r>
      <rPr>
        <sz val="10"/>
        <rFont val="Arial"/>
        <family val="0"/>
        <charset val="1"/>
      </rPr>
      <t xml:space="preserve">2</t>
    </r>
    <r>
      <rPr>
        <sz val="10"/>
        <rFont val="Noto Sans CJK JP"/>
        <family val="2"/>
      </rPr>
      <t xml:space="preserve">回目）</t>
    </r>
  </si>
  <si>
    <r>
      <rPr>
        <sz val="10"/>
        <rFont val="Noto Sans CJK JP"/>
        <family val="2"/>
      </rPr>
      <t xml:space="preserve">安定性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同じ写真で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回連続判定（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行に記録）（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回目）</t>
    </r>
  </si>
  <si>
    <r>
      <rPr>
        <sz val="10"/>
        <rFont val="Noto Sans CJK JP"/>
        <family val="2"/>
      </rPr>
      <t xml:space="preserve">対象外</t>
    </r>
    <r>
      <rPr>
        <sz val="10"/>
        <rFont val="Arial"/>
        <family val="0"/>
        <charset val="1"/>
      </rPr>
      <t xml:space="preserve">(</t>
    </r>
    <r>
      <rPr>
        <sz val="10"/>
        <rFont val="Noto Sans CJK JP"/>
        <family val="2"/>
      </rPr>
      <t xml:space="preserve">非端末</t>
    </r>
    <r>
      <rPr>
        <sz val="10"/>
        <rFont val="Arial"/>
        <family val="0"/>
        <charset val="1"/>
      </rPr>
      <t xml:space="preserve">)</t>
    </r>
  </si>
  <si>
    <t xml:space="preserve">-</t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</si>
  <si>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財布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</si>
  <si>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食品（果物など）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</si>
  <si>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本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</si>
  <si>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鍵</t>
    </r>
  </si>
  <si>
    <t xml:space="preserve">B</t>
  </si>
  <si>
    <t xml:space="preserve">タブレット</t>
  </si>
  <si>
    <t xml:space="preserve">デジタルカメラ</t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</si>
  <si>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テレビのリモコン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</si>
  <si>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電卓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</si>
  <si>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マウス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</si>
  <si>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電動歯ブラシ</t>
    </r>
  </si>
  <si>
    <t xml:space="preserve">C</t>
  </si>
  <si>
    <t xml:space="preserve">携帯ゲーム機</t>
  </si>
  <si>
    <t xml:space="preserve">その他小型家電</t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</si>
  <si>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ペン（文房具）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</si>
  <si>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ぬいぐるみ・おもちゃ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</si>
  <si>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ノート（紙）</t>
    </r>
  </si>
  <si>
    <r>
      <rPr>
        <sz val="10"/>
        <rFont val="Noto Sans CJK JP"/>
        <family val="2"/>
      </rPr>
      <t xml:space="preserve">被写体</t>
    </r>
    <r>
      <rPr>
        <sz val="10"/>
        <rFont val="Arial"/>
        <family val="0"/>
        <charset val="1"/>
      </rPr>
      <t xml:space="preserve">: </t>
    </r>
    <r>
      <rPr>
        <sz val="10"/>
        <rFont val="Noto Sans CJK JP"/>
        <family val="2"/>
      </rPr>
      <t xml:space="preserve">コップ</t>
    </r>
  </si>
  <si>
    <t xml:space="preserve">自由</t>
  </si>
  <si>
    <t xml:space="preserve">画像判定 人力テスト 自動集計</t>
  </si>
  <si>
    <t xml:space="preserve">▼ 全体（端末クラスのみ・対象外を除く）</t>
  </si>
  <si>
    <t xml:space="preserve">実施済み判定数</t>
  </si>
  <si>
    <r>
      <rPr>
        <sz val="10"/>
        <rFont val="Arial"/>
        <family val="0"/>
        <charset val="1"/>
      </rPr>
      <t xml:space="preserve">Top-1 </t>
    </r>
    <r>
      <rPr>
        <sz val="10"/>
        <rFont val="Noto Sans CJK JP"/>
        <family val="2"/>
      </rPr>
      <t xml:space="preserve">正解数</t>
    </r>
  </si>
  <si>
    <r>
      <rPr>
        <sz val="10"/>
        <rFont val="Arial"/>
        <family val="0"/>
        <charset val="1"/>
      </rPr>
      <t xml:space="preserve">Top-1 </t>
    </r>
    <r>
      <rPr>
        <sz val="10"/>
        <rFont val="Noto Sans CJK JP"/>
        <family val="2"/>
      </rPr>
      <t xml:space="preserve">正解率</t>
    </r>
  </si>
  <si>
    <r>
      <rPr>
        <sz val="10"/>
        <rFont val="Arial"/>
        <family val="0"/>
        <charset val="1"/>
      </rPr>
      <t xml:space="preserve">Top-3 </t>
    </r>
    <r>
      <rPr>
        <sz val="10"/>
        <rFont val="Noto Sans CJK JP"/>
        <family val="2"/>
      </rPr>
      <t xml:space="preserve">正解数</t>
    </r>
  </si>
  <si>
    <r>
      <rPr>
        <sz val="10"/>
        <rFont val="Arial"/>
        <family val="0"/>
        <charset val="1"/>
      </rPr>
      <t xml:space="preserve">Top-3 </t>
    </r>
    <r>
      <rPr>
        <sz val="10"/>
        <rFont val="Noto Sans CJK JP"/>
        <family val="2"/>
      </rPr>
      <t xml:space="preserve">正解率</t>
    </r>
  </si>
  <si>
    <r>
      <rPr>
        <b val="true"/>
        <sz val="10"/>
        <rFont val="Noto Sans CJK JP"/>
        <family val="2"/>
      </rPr>
      <t xml:space="preserve">判定（</t>
    </r>
    <r>
      <rPr>
        <b val="true"/>
        <sz val="10"/>
        <rFont val="Arial"/>
        <family val="0"/>
        <charset val="1"/>
      </rPr>
      <t xml:space="preserve">Top-1 ≥ 75%</t>
    </r>
    <r>
      <rPr>
        <b val="true"/>
        <sz val="10"/>
        <rFont val="Noto Sans CJK JP"/>
        <family val="2"/>
      </rPr>
      <t xml:space="preserve">）</t>
    </r>
  </si>
  <si>
    <r>
      <rPr>
        <b val="true"/>
        <sz val="10"/>
        <rFont val="Noto Sans CJK JP"/>
        <family val="2"/>
      </rPr>
      <t xml:space="preserve">判定（</t>
    </r>
    <r>
      <rPr>
        <b val="true"/>
        <sz val="10"/>
        <rFont val="Arial"/>
        <family val="0"/>
        <charset val="1"/>
      </rPr>
      <t xml:space="preserve">Top-3 ≥ 90%</t>
    </r>
    <r>
      <rPr>
        <b val="true"/>
        <sz val="10"/>
        <rFont val="Noto Sans CJK JP"/>
        <family val="2"/>
      </rPr>
      <t xml:space="preserve">）</t>
    </r>
  </si>
  <si>
    <r>
      <rPr>
        <b val="true"/>
        <sz val="10"/>
        <rFont val="Noto Sans CJK JP"/>
        <family val="2"/>
      </rPr>
      <t xml:space="preserve">▼ カテゴリ別（</t>
    </r>
    <r>
      <rPr>
        <b val="true"/>
        <sz val="10"/>
        <rFont val="Arial"/>
        <family val="0"/>
        <charset val="1"/>
      </rPr>
      <t xml:space="preserve">Top-1</t>
    </r>
    <r>
      <rPr>
        <b val="true"/>
        <sz val="10"/>
        <rFont val="Noto Sans CJK JP"/>
        <family val="2"/>
      </rPr>
      <t xml:space="preserve">）</t>
    </r>
  </si>
  <si>
    <t xml:space="preserve">実施数</t>
  </si>
  <si>
    <r>
      <rPr>
        <b val="true"/>
        <sz val="10"/>
        <color rgb="FFFFFFFF"/>
        <rFont val="Arial"/>
        <family val="0"/>
        <charset val="1"/>
      </rPr>
      <t xml:space="preserve">Top-1</t>
    </r>
    <r>
      <rPr>
        <b val="true"/>
        <sz val="10"/>
        <color rgb="FFFFFFFF"/>
        <rFont val="Noto Sans CJK JP"/>
        <family val="2"/>
      </rPr>
      <t xml:space="preserve">正解</t>
    </r>
  </si>
  <si>
    <r>
      <rPr>
        <b val="true"/>
        <sz val="10"/>
        <color rgb="FFFFFFFF"/>
        <rFont val="Arial"/>
        <family val="0"/>
        <charset val="1"/>
      </rPr>
      <t xml:space="preserve">Top-1</t>
    </r>
    <r>
      <rPr>
        <b val="true"/>
        <sz val="10"/>
        <color rgb="FFFFFFFF"/>
        <rFont val="Noto Sans CJK JP"/>
        <family val="2"/>
      </rPr>
      <t xml:space="preserve">率</t>
    </r>
  </si>
  <si>
    <r>
      <rPr>
        <b val="true"/>
        <sz val="10"/>
        <color rgb="FFFFFFFF"/>
        <rFont val="Arial"/>
        <family val="0"/>
        <charset val="1"/>
      </rPr>
      <t xml:space="preserve">Top-3</t>
    </r>
    <r>
      <rPr>
        <b val="true"/>
        <sz val="10"/>
        <color rgb="FFFFFFFF"/>
        <rFont val="Noto Sans CJK JP"/>
        <family val="2"/>
      </rPr>
      <t xml:space="preserve">正解</t>
    </r>
  </si>
  <si>
    <r>
      <rPr>
        <b val="true"/>
        <sz val="10"/>
        <color rgb="FFFFFFFF"/>
        <rFont val="Arial"/>
        <family val="0"/>
        <charset val="1"/>
      </rPr>
      <t xml:space="preserve">Top-3</t>
    </r>
    <r>
      <rPr>
        <b val="true"/>
        <sz val="10"/>
        <color rgb="FFFFFFFF"/>
        <rFont val="Noto Sans CJK JP"/>
        <family val="2"/>
      </rPr>
      <t xml:space="preserve">率</t>
    </r>
  </si>
  <si>
    <t xml:space="preserve">▼ 対象外（非端末）の安全性</t>
  </si>
  <si>
    <r>
      <rPr>
        <sz val="10"/>
        <rFont val="Noto Sans CJK JP"/>
        <family val="2"/>
      </rPr>
      <t xml:space="preserve">誤検知数（一致度</t>
    </r>
    <r>
      <rPr>
        <sz val="10"/>
        <rFont val="Arial"/>
        <family val="0"/>
        <charset val="1"/>
      </rPr>
      <t xml:space="preserve">70%</t>
    </r>
    <r>
      <rPr>
        <sz val="10"/>
        <rFont val="Noto Sans CJK JP"/>
        <family val="2"/>
      </rPr>
      <t xml:space="preserve">以上で端末クラスと判定）</t>
    </r>
  </si>
  <si>
    <t xml:space="preserve">誤検知率</t>
  </si>
  <si>
    <r>
      <rPr>
        <b val="true"/>
        <sz val="10"/>
        <rFont val="Noto Sans CJK JP"/>
        <family val="2"/>
      </rPr>
      <t xml:space="preserve">判定（≤ </t>
    </r>
    <r>
      <rPr>
        <b val="true"/>
        <sz val="10"/>
        <rFont val="Arial"/>
        <family val="0"/>
        <charset val="1"/>
      </rPr>
      <t xml:space="preserve">5%</t>
    </r>
    <r>
      <rPr>
        <b val="true"/>
        <sz val="10"/>
        <rFont val="Noto Sans CJK JP"/>
        <family val="2"/>
      </rPr>
      <t xml:space="preserve">）</t>
    </r>
  </si>
  <si>
    <t xml:space="preserve">▼ 体感応答時間</t>
  </si>
  <si>
    <r>
      <rPr>
        <sz val="10"/>
        <rFont val="Noto Sans CJK JP"/>
        <family val="2"/>
      </rPr>
      <t xml:space="preserve">～</t>
    </r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秒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</si>
  <si>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JP"/>
        <family val="2"/>
      </rPr>
      <t xml:space="preserve">～</t>
    </r>
    <r>
      <rPr>
        <sz val="10"/>
        <rFont val="Arial"/>
        <family val="0"/>
        <charset val="1"/>
      </rPr>
      <t xml:space="preserve">5</t>
    </r>
    <r>
      <rPr>
        <sz val="10"/>
        <rFont val="Noto Sans CJK JP"/>
        <family val="2"/>
      </rPr>
      <t xml:space="preserve">秒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</si>
  <si>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JP"/>
        <family val="2"/>
      </rPr>
      <t xml:space="preserve">秒以上</t>
    </r>
  </si>
  <si>
    <r>
      <rPr>
        <sz val="10"/>
        <rFont val="Noto Sans CJK JP"/>
        <family val="2"/>
      </rPr>
      <t xml:space="preserve">「</t>
    </r>
    <r>
      <rPr>
        <sz val="10"/>
        <rFont val="Arial"/>
        <family val="0"/>
        <charset val="1"/>
      </rPr>
      <t xml:space="preserve">5</t>
    </r>
    <r>
      <rPr>
        <sz val="10"/>
        <rFont val="Noto Sans CJK JP"/>
        <family val="2"/>
      </rPr>
      <t xml:space="preserve">秒以上」の割合</t>
    </r>
  </si>
  <si>
    <r>
      <rPr>
        <b val="true"/>
        <sz val="10"/>
        <rFont val="Noto Sans CJK JP"/>
        <family val="2"/>
      </rPr>
      <t xml:space="preserve">判定（≤ </t>
    </r>
    <r>
      <rPr>
        <b val="true"/>
        <sz val="10"/>
        <rFont val="Arial"/>
        <family val="0"/>
        <charset val="1"/>
      </rPr>
      <t xml:space="preserve">20%</t>
    </r>
    <r>
      <rPr>
        <b val="true"/>
        <sz val="10"/>
        <rFont val="Noto Sans CJK JP"/>
        <family val="2"/>
      </rPr>
      <t xml:space="preserve">）</t>
    </r>
  </si>
  <si>
    <r>
      <rPr>
        <b val="true"/>
        <sz val="10"/>
        <rFont val="Noto Sans CJK JP"/>
        <family val="2"/>
      </rPr>
      <t xml:space="preserve">▼ 安定性（条件⑧</t>
    </r>
    <r>
      <rPr>
        <b val="true"/>
        <sz val="10"/>
        <rFont val="Arial"/>
        <family val="0"/>
        <charset val="1"/>
      </rPr>
      <t xml:space="preserve">: </t>
    </r>
    <r>
      <rPr>
        <b val="true"/>
        <sz val="10"/>
        <rFont val="Noto Sans CJK JP"/>
        <family val="2"/>
      </rPr>
      <t xml:space="preserve">同一写真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JP"/>
        <family val="2"/>
      </rPr>
      <t xml:space="preserve">回の候補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JP"/>
        <family val="2"/>
      </rPr>
      <t xml:space="preserve">位）</t>
    </r>
  </si>
  <si>
    <r>
      <rPr>
        <sz val="10"/>
        <rFont val="Noto Sans CJK JP"/>
        <family val="2"/>
      </rPr>
      <t xml:space="preserve">テスター</t>
    </r>
    <r>
      <rPr>
        <sz val="10"/>
        <rFont val="Arial"/>
        <family val="0"/>
        <charset val="1"/>
      </rPr>
      <t xml:space="preserve">A</t>
    </r>
  </si>
  <si>
    <r>
      <rPr>
        <sz val="10"/>
        <rFont val="Noto Sans CJK JP"/>
        <family val="2"/>
      </rPr>
      <t xml:space="preserve">テスター</t>
    </r>
    <r>
      <rPr>
        <sz val="10"/>
        <rFont val="Arial"/>
        <family val="0"/>
        <charset val="1"/>
      </rPr>
      <t xml:space="preserve">B</t>
    </r>
  </si>
  <si>
    <r>
      <rPr>
        <sz val="10"/>
        <rFont val="Noto Sans CJK JP"/>
        <family val="2"/>
      </rPr>
      <t xml:space="preserve">テスター</t>
    </r>
    <r>
      <rPr>
        <sz val="10"/>
        <rFont val="Arial"/>
        <family val="0"/>
        <charset val="1"/>
      </rPr>
      <t xml:space="preserve">C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</si>
</sst>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JP"/>
      <family val="2"/>
    </font>
    <font>
      <sz val="10"/>
      <name val="Noto Sans CJK JP"/>
      <family val="2"/>
    </font>
    <font>
      <sz val="10"/>
      <name val="Arial"/>
      <family val="0"/>
      <charset val="1"/>
    </font>
    <font>
      <b val="true"/>
      <sz val="10"/>
      <name val="Noto Sans CJK JP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JP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DECEF"/>
        <bgColor rgb="FFE8F1FB"/>
      </patternFill>
    </fill>
    <fill>
      <patternFill patternType="solid">
        <fgColor rgb="FFE8F1FB"/>
        <bgColor rgb="FFEAF6EC"/>
      </patternFill>
    </fill>
    <fill>
      <patternFill patternType="solid">
        <fgColor rgb="FFEAF6EC"/>
        <bgColor rgb="FFE8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AF6EC"/>
      <rgbColor rgb="FFE8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4.56"/>
    <col collapsed="false" customWidth="true" hidden="false" outlineLevel="0" max="2" min="2" style="0" width="54.59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4" t="s">
        <v>7</v>
      </c>
      <c r="B10" s="2" t="s">
        <v>8</v>
      </c>
    </row>
    <row r="11" customFormat="false" ht="15" hidden="false" customHeight="false" outlineLevel="0" collapsed="false">
      <c r="A11" s="4" t="s">
        <v>9</v>
      </c>
      <c r="B11" s="2" t="s">
        <v>10</v>
      </c>
    </row>
    <row r="12" customFormat="false" ht="15" hidden="false" customHeight="false" outlineLevel="0" collapsed="false">
      <c r="A12" s="4" t="s">
        <v>11</v>
      </c>
      <c r="B12" s="2" t="s">
        <v>12</v>
      </c>
    </row>
    <row r="13" customFormat="false" ht="15" hidden="false" customHeight="false" outlineLevel="0" collapsed="false">
      <c r="A13" s="4" t="s">
        <v>13</v>
      </c>
      <c r="B13" s="2" t="s">
        <v>14</v>
      </c>
    </row>
    <row r="14" customFormat="false" ht="15" hidden="false" customHeight="false" outlineLevel="0" collapsed="false">
      <c r="A14" s="4" t="s">
        <v>15</v>
      </c>
      <c r="B14" s="2" t="s">
        <v>16</v>
      </c>
    </row>
    <row r="15" customFormat="false" ht="15" hidden="false" customHeight="false" outlineLevel="0" collapsed="false">
      <c r="A15" s="4" t="s">
        <v>17</v>
      </c>
      <c r="B15" s="2" t="s">
        <v>18</v>
      </c>
    </row>
    <row r="16" customFormat="false" ht="15" hidden="false" customHeight="false" outlineLevel="0" collapsed="false">
      <c r="A16" s="4" t="s">
        <v>19</v>
      </c>
      <c r="B16" s="2" t="s">
        <v>20</v>
      </c>
    </row>
    <row r="17" customFormat="false" ht="15" hidden="false" customHeight="false" outlineLevel="0" collapsed="false">
      <c r="A17" s="4" t="s">
        <v>21</v>
      </c>
      <c r="B17" s="2" t="s">
        <v>22</v>
      </c>
    </row>
    <row r="19" customFormat="false" ht="15" hidden="false" customHeight="false" outlineLevel="0" collapsed="false">
      <c r="A19" s="4" t="s">
        <v>23</v>
      </c>
    </row>
    <row r="20" customFormat="false" ht="15" hidden="false" customHeight="false" outlineLevel="0" collapsed="false">
      <c r="A20" s="2" t="s">
        <v>24</v>
      </c>
    </row>
    <row r="21" customFormat="false" ht="15" hidden="false" customHeight="false" outlineLevel="0" collapsed="false">
      <c r="A21" s="2" t="s">
        <v>25</v>
      </c>
    </row>
    <row r="22" customFormat="false" ht="15" hidden="false" customHeight="false" outlineLevel="0" collapsed="false">
      <c r="A22" s="2" t="s">
        <v>26</v>
      </c>
    </row>
    <row r="23" customFormat="false" ht="15" hidden="false" customHeight="false" outlineLevel="0" collapsed="false">
      <c r="A2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5.46"/>
    <col collapsed="false" customWidth="true" hidden="false" outlineLevel="0" max="3" min="3" style="0" width="9.1"/>
    <col collapsed="false" customWidth="true" hidden="false" outlineLevel="0" max="4" min="4" style="0" width="14.56"/>
    <col collapsed="false" customWidth="true" hidden="false" outlineLevel="0" max="5" min="5" style="0" width="5.46"/>
    <col collapsed="false" customWidth="true" hidden="false" outlineLevel="0" max="6" min="6" style="0" width="30.93"/>
    <col collapsed="false" customWidth="true" hidden="false" outlineLevel="0" max="7" min="7" style="0" width="14.56"/>
    <col collapsed="false" customWidth="true" hidden="false" outlineLevel="0" max="8" min="8" style="0" width="10.92"/>
    <col collapsed="false" customWidth="true" hidden="false" outlineLevel="0" max="10" min="9" style="0" width="14.56"/>
    <col collapsed="false" customWidth="true" hidden="false" outlineLevel="0" max="11" min="11" style="0" width="10.01"/>
    <col collapsed="false" customWidth="true" hidden="false" outlineLevel="0" max="12" min="12" style="0" width="8.19"/>
    <col collapsed="false" customWidth="true" hidden="false" outlineLevel="0" max="13" min="13" style="0" width="10.01"/>
    <col collapsed="false" customWidth="true" hidden="false" outlineLevel="0" max="14" min="14" style="0" width="11.83"/>
    <col collapsed="false" customWidth="true" hidden="false" outlineLevel="0" max="15" min="15" style="0" width="27.3"/>
  </cols>
  <sheetData>
    <row r="1" customFormat="false" ht="15" hidden="false" customHeight="false" outlineLevel="0" collapsed="false">
      <c r="A1" s="5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5" t="s">
        <v>39</v>
      </c>
      <c r="M1" s="6" t="s">
        <v>40</v>
      </c>
      <c r="N1" s="6" t="s">
        <v>41</v>
      </c>
      <c r="O1" s="6" t="s">
        <v>42</v>
      </c>
    </row>
    <row r="2" customFormat="false" ht="29.85" hidden="false" customHeight="false" outlineLevel="0" collapsed="false">
      <c r="A2" s="7" t="n">
        <v>1</v>
      </c>
      <c r="B2" s="7" t="s">
        <v>43</v>
      </c>
      <c r="C2" s="8"/>
      <c r="D2" s="8" t="s">
        <v>44</v>
      </c>
      <c r="E2" s="9" t="s">
        <v>7</v>
      </c>
      <c r="F2" s="10" t="s">
        <v>8</v>
      </c>
      <c r="G2" s="11"/>
      <c r="H2" s="12"/>
      <c r="I2" s="11"/>
      <c r="J2" s="11"/>
      <c r="K2" s="12" t="str">
        <f aca="false">IF(OR($D2="",$G2=""),"",IF($D2="対象外(非端末)","-",IF($D2=$G2,"○","×")))</f>
        <v/>
      </c>
      <c r="L2" s="12" t="str">
        <f aca="false">IF(OR($D2="",$G2=""),"",IF($D2="対象外(非端末)","-",IF(OR($D2=$G2,$D2=$I2,$D2=$J2),"○","×")))</f>
        <v/>
      </c>
      <c r="M2" s="12"/>
      <c r="N2" s="12"/>
      <c r="O2" s="13"/>
    </row>
    <row r="3" customFormat="false" ht="15" hidden="false" customHeight="false" outlineLevel="0" collapsed="false">
      <c r="A3" s="9" t="n">
        <v>2</v>
      </c>
      <c r="B3" s="7" t="s">
        <v>43</v>
      </c>
      <c r="C3" s="8"/>
      <c r="D3" s="8" t="s">
        <v>44</v>
      </c>
      <c r="E3" s="9" t="s">
        <v>9</v>
      </c>
      <c r="F3" s="10" t="s">
        <v>10</v>
      </c>
      <c r="G3" s="11"/>
      <c r="H3" s="12"/>
      <c r="I3" s="11"/>
      <c r="J3" s="11"/>
      <c r="K3" s="12" t="str">
        <f aca="false">IF(OR($D3="",$G3=""),"",IF($D3="対象外(非端末)","-",IF($D3=$G3,"○","×")))</f>
        <v/>
      </c>
      <c r="L3" s="12" t="str">
        <f aca="false">IF(OR($D3="",$G3=""),"",IF($D3="対象外(非端末)","-",IF(OR($D3=$G3,$D3=$I3,$D3=$J3),"○","×")))</f>
        <v/>
      </c>
      <c r="M3" s="12"/>
      <c r="N3" s="12"/>
      <c r="O3" s="13"/>
    </row>
    <row r="4" customFormat="false" ht="15" hidden="false" customHeight="false" outlineLevel="0" collapsed="false">
      <c r="A4" s="9" t="n">
        <v>3</v>
      </c>
      <c r="B4" s="7" t="s">
        <v>43</v>
      </c>
      <c r="C4" s="8"/>
      <c r="D4" s="8" t="s">
        <v>44</v>
      </c>
      <c r="E4" s="9" t="s">
        <v>11</v>
      </c>
      <c r="F4" s="10" t="s">
        <v>12</v>
      </c>
      <c r="G4" s="11"/>
      <c r="H4" s="12"/>
      <c r="I4" s="11"/>
      <c r="J4" s="11"/>
      <c r="K4" s="12" t="str">
        <f aca="false">IF(OR($D4="",$G4=""),"",IF($D4="対象外(非端末)","-",IF($D4=$G4,"○","×")))</f>
        <v/>
      </c>
      <c r="L4" s="12" t="str">
        <f aca="false">IF(OR($D4="",$G4=""),"",IF($D4="対象外(非端末)","-",IF(OR($D4=$G4,$D4=$I4,$D4=$J4),"○","×")))</f>
        <v/>
      </c>
      <c r="M4" s="12"/>
      <c r="N4" s="12"/>
      <c r="O4" s="13"/>
    </row>
    <row r="5" customFormat="false" ht="15" hidden="false" customHeight="false" outlineLevel="0" collapsed="false">
      <c r="A5" s="9" t="n">
        <v>4</v>
      </c>
      <c r="B5" s="7" t="s">
        <v>43</v>
      </c>
      <c r="C5" s="8"/>
      <c r="D5" s="8" t="s">
        <v>44</v>
      </c>
      <c r="E5" s="9" t="s">
        <v>13</v>
      </c>
      <c r="F5" s="10" t="s">
        <v>14</v>
      </c>
      <c r="G5" s="11"/>
      <c r="H5" s="12"/>
      <c r="I5" s="11"/>
      <c r="J5" s="11"/>
      <c r="K5" s="12" t="str">
        <f aca="false">IF(OR($D5="",$G5=""),"",IF($D5="対象外(非端末)","-",IF($D5=$G5,"○","×")))</f>
        <v/>
      </c>
      <c r="L5" s="12" t="str">
        <f aca="false">IF(OR($D5="",$G5=""),"",IF($D5="対象外(非端末)","-",IF(OR($D5=$G5,$D5=$I5,$D5=$J5),"○","×")))</f>
        <v/>
      </c>
      <c r="M5" s="12"/>
      <c r="N5" s="12"/>
      <c r="O5" s="13"/>
    </row>
    <row r="6" customFormat="false" ht="15" hidden="false" customHeight="false" outlineLevel="0" collapsed="false">
      <c r="A6" s="9" t="n">
        <v>5</v>
      </c>
      <c r="B6" s="7" t="s">
        <v>43</v>
      </c>
      <c r="C6" s="8"/>
      <c r="D6" s="8" t="s">
        <v>44</v>
      </c>
      <c r="E6" s="9" t="s">
        <v>15</v>
      </c>
      <c r="F6" s="10" t="s">
        <v>16</v>
      </c>
      <c r="G6" s="11"/>
      <c r="H6" s="12"/>
      <c r="I6" s="11"/>
      <c r="J6" s="11"/>
      <c r="K6" s="12" t="str">
        <f aca="false">IF(OR($D6="",$G6=""),"",IF($D6="対象外(非端末)","-",IF($D6=$G6,"○","×")))</f>
        <v/>
      </c>
      <c r="L6" s="12" t="str">
        <f aca="false">IF(OR($D6="",$G6=""),"",IF($D6="対象外(非端末)","-",IF(OR($D6=$G6,$D6=$I6,$D6=$J6),"○","×")))</f>
        <v/>
      </c>
      <c r="M6" s="12"/>
      <c r="N6" s="12"/>
      <c r="O6" s="13"/>
    </row>
    <row r="7" customFormat="false" ht="15" hidden="false" customHeight="false" outlineLevel="0" collapsed="false">
      <c r="A7" s="9" t="n">
        <v>6</v>
      </c>
      <c r="B7" s="7" t="s">
        <v>43</v>
      </c>
      <c r="C7" s="8"/>
      <c r="D7" s="8" t="s">
        <v>44</v>
      </c>
      <c r="E7" s="9" t="s">
        <v>17</v>
      </c>
      <c r="F7" s="10" t="s">
        <v>18</v>
      </c>
      <c r="G7" s="11"/>
      <c r="H7" s="12"/>
      <c r="I7" s="11"/>
      <c r="J7" s="11"/>
      <c r="K7" s="12" t="str">
        <f aca="false">IF(OR($D7="",$G7=""),"",IF($D7="対象外(非端末)","-",IF($D7=$G7,"○","×")))</f>
        <v/>
      </c>
      <c r="L7" s="12" t="str">
        <f aca="false">IF(OR($D7="",$G7=""),"",IF($D7="対象外(非端末)","-",IF(OR($D7=$G7,$D7=$I7,$D7=$J7),"○","×")))</f>
        <v/>
      </c>
      <c r="M7" s="12"/>
      <c r="N7" s="12"/>
      <c r="O7" s="13"/>
    </row>
    <row r="8" customFormat="false" ht="15" hidden="false" customHeight="false" outlineLevel="0" collapsed="false">
      <c r="A8" s="9" t="n">
        <v>7</v>
      </c>
      <c r="B8" s="7" t="s">
        <v>43</v>
      </c>
      <c r="C8" s="8"/>
      <c r="D8" s="8" t="s">
        <v>44</v>
      </c>
      <c r="E8" s="9" t="s">
        <v>19</v>
      </c>
      <c r="F8" s="10" t="s">
        <v>20</v>
      </c>
      <c r="G8" s="11"/>
      <c r="H8" s="12"/>
      <c r="I8" s="11"/>
      <c r="J8" s="11"/>
      <c r="K8" s="12" t="str">
        <f aca="false">IF(OR($D8="",$G8=""),"",IF($D8="対象外(非端末)","-",IF($D8=$G8,"○","×")))</f>
        <v/>
      </c>
      <c r="L8" s="12" t="str">
        <f aca="false">IF(OR($D8="",$G8=""),"",IF($D8="対象外(非端末)","-",IF(OR($D8=$G8,$D8=$I8,$D8=$J8),"○","×")))</f>
        <v/>
      </c>
      <c r="M8" s="12"/>
      <c r="N8" s="12"/>
      <c r="O8" s="13"/>
    </row>
    <row r="9" customFormat="false" ht="29.85" hidden="false" customHeight="false" outlineLevel="0" collapsed="false">
      <c r="A9" s="9" t="n">
        <v>8</v>
      </c>
      <c r="B9" s="7" t="s">
        <v>43</v>
      </c>
      <c r="C9" s="8"/>
      <c r="D9" s="8" t="s">
        <v>45</v>
      </c>
      <c r="E9" s="9" t="s">
        <v>7</v>
      </c>
      <c r="F9" s="10" t="s">
        <v>8</v>
      </c>
      <c r="G9" s="11"/>
      <c r="H9" s="12"/>
      <c r="I9" s="11"/>
      <c r="J9" s="11"/>
      <c r="K9" s="12" t="str">
        <f aca="false">IF(OR($D9="",$G9=""),"",IF($D9="対象外(非端末)","-",IF($D9=$G9,"○","×")))</f>
        <v/>
      </c>
      <c r="L9" s="12" t="str">
        <f aca="false">IF(OR($D9="",$G9=""),"",IF($D9="対象外(非端末)","-",IF(OR($D9=$G9,$D9=$I9,$D9=$J9),"○","×")))</f>
        <v/>
      </c>
      <c r="M9" s="12"/>
      <c r="N9" s="12"/>
      <c r="O9" s="13"/>
    </row>
    <row r="10" customFormat="false" ht="15" hidden="false" customHeight="false" outlineLevel="0" collapsed="false">
      <c r="A10" s="9" t="n">
        <v>9</v>
      </c>
      <c r="B10" s="7" t="s">
        <v>43</v>
      </c>
      <c r="C10" s="8"/>
      <c r="D10" s="8" t="s">
        <v>45</v>
      </c>
      <c r="E10" s="9" t="s">
        <v>9</v>
      </c>
      <c r="F10" s="10" t="s">
        <v>10</v>
      </c>
      <c r="G10" s="11"/>
      <c r="H10" s="12"/>
      <c r="I10" s="11"/>
      <c r="J10" s="11"/>
      <c r="K10" s="12" t="str">
        <f aca="false">IF(OR($D10="",$G10=""),"",IF($D10="対象外(非端末)","-",IF($D10=$G10,"○","×")))</f>
        <v/>
      </c>
      <c r="L10" s="12" t="str">
        <f aca="false">IF(OR($D10="",$G10=""),"",IF($D10="対象外(非端末)","-",IF(OR($D10=$G10,$D10=$I10,$D10=$J10),"○","×")))</f>
        <v/>
      </c>
      <c r="M10" s="12"/>
      <c r="N10" s="12"/>
      <c r="O10" s="13"/>
    </row>
    <row r="11" customFormat="false" ht="15" hidden="false" customHeight="false" outlineLevel="0" collapsed="false">
      <c r="A11" s="9" t="n">
        <v>10</v>
      </c>
      <c r="B11" s="7" t="s">
        <v>43</v>
      </c>
      <c r="C11" s="8"/>
      <c r="D11" s="8" t="s">
        <v>45</v>
      </c>
      <c r="E11" s="9" t="s">
        <v>11</v>
      </c>
      <c r="F11" s="10" t="s">
        <v>12</v>
      </c>
      <c r="G11" s="11"/>
      <c r="H11" s="12"/>
      <c r="I11" s="11"/>
      <c r="J11" s="11"/>
      <c r="K11" s="12" t="str">
        <f aca="false">IF(OR($D11="",$G11=""),"",IF($D11="対象外(非端末)","-",IF($D11=$G11,"○","×")))</f>
        <v/>
      </c>
      <c r="L11" s="12" t="str">
        <f aca="false">IF(OR($D11="",$G11=""),"",IF($D11="対象外(非端末)","-",IF(OR($D11=$G11,$D11=$I11,$D11=$J11),"○","×")))</f>
        <v/>
      </c>
      <c r="M11" s="12"/>
      <c r="N11" s="12"/>
      <c r="O11" s="13"/>
    </row>
    <row r="12" customFormat="false" ht="15" hidden="false" customHeight="false" outlineLevel="0" collapsed="false">
      <c r="A12" s="9" t="n">
        <v>11</v>
      </c>
      <c r="B12" s="7" t="s">
        <v>43</v>
      </c>
      <c r="C12" s="8"/>
      <c r="D12" s="8" t="s">
        <v>45</v>
      </c>
      <c r="E12" s="9" t="s">
        <v>13</v>
      </c>
      <c r="F12" s="10" t="s">
        <v>14</v>
      </c>
      <c r="G12" s="11"/>
      <c r="H12" s="12"/>
      <c r="I12" s="11"/>
      <c r="J12" s="11"/>
      <c r="K12" s="12" t="str">
        <f aca="false">IF(OR($D12="",$G12=""),"",IF($D12="対象外(非端末)","-",IF($D12=$G12,"○","×")))</f>
        <v/>
      </c>
      <c r="L12" s="12" t="str">
        <f aca="false">IF(OR($D12="",$G12=""),"",IF($D12="対象外(非端末)","-",IF(OR($D12=$G12,$D12=$I12,$D12=$J12),"○","×")))</f>
        <v/>
      </c>
      <c r="M12" s="12"/>
      <c r="N12" s="12"/>
      <c r="O12" s="13"/>
    </row>
    <row r="13" customFormat="false" ht="15" hidden="false" customHeight="false" outlineLevel="0" collapsed="false">
      <c r="A13" s="9" t="n">
        <v>12</v>
      </c>
      <c r="B13" s="7" t="s">
        <v>43</v>
      </c>
      <c r="C13" s="8"/>
      <c r="D13" s="8" t="s">
        <v>45</v>
      </c>
      <c r="E13" s="9" t="s">
        <v>15</v>
      </c>
      <c r="F13" s="10" t="s">
        <v>16</v>
      </c>
      <c r="G13" s="11"/>
      <c r="H13" s="12"/>
      <c r="I13" s="11"/>
      <c r="J13" s="11"/>
      <c r="K13" s="12" t="str">
        <f aca="false">IF(OR($D13="",$G13=""),"",IF($D13="対象外(非端末)","-",IF($D13=$G13,"○","×")))</f>
        <v/>
      </c>
      <c r="L13" s="12" t="str">
        <f aca="false">IF(OR($D13="",$G13=""),"",IF($D13="対象外(非端末)","-",IF(OR($D13=$G13,$D13=$I13,$D13=$J13),"○","×")))</f>
        <v/>
      </c>
      <c r="M13" s="12"/>
      <c r="N13" s="12"/>
      <c r="O13" s="13"/>
    </row>
    <row r="14" customFormat="false" ht="15" hidden="false" customHeight="false" outlineLevel="0" collapsed="false">
      <c r="A14" s="9" t="n">
        <v>13</v>
      </c>
      <c r="B14" s="7" t="s">
        <v>43</v>
      </c>
      <c r="C14" s="8"/>
      <c r="D14" s="8" t="s">
        <v>45</v>
      </c>
      <c r="E14" s="9" t="s">
        <v>17</v>
      </c>
      <c r="F14" s="10" t="s">
        <v>18</v>
      </c>
      <c r="G14" s="11"/>
      <c r="H14" s="12"/>
      <c r="I14" s="11"/>
      <c r="J14" s="11"/>
      <c r="K14" s="12" t="str">
        <f aca="false">IF(OR($D14="",$G14=""),"",IF($D14="対象外(非端末)","-",IF($D14=$G14,"○","×")))</f>
        <v/>
      </c>
      <c r="L14" s="12" t="str">
        <f aca="false">IF(OR($D14="",$G14=""),"",IF($D14="対象外(非端末)","-",IF(OR($D14=$G14,$D14=$I14,$D14=$J14),"○","×")))</f>
        <v/>
      </c>
      <c r="M14" s="12"/>
      <c r="N14" s="12"/>
      <c r="O14" s="13"/>
    </row>
    <row r="15" customFormat="false" ht="15" hidden="false" customHeight="false" outlineLevel="0" collapsed="false">
      <c r="A15" s="9" t="n">
        <v>14</v>
      </c>
      <c r="B15" s="7" t="s">
        <v>43</v>
      </c>
      <c r="C15" s="8"/>
      <c r="D15" s="8" t="s">
        <v>45</v>
      </c>
      <c r="E15" s="9" t="s">
        <v>19</v>
      </c>
      <c r="F15" s="10" t="s">
        <v>20</v>
      </c>
      <c r="G15" s="11"/>
      <c r="H15" s="12"/>
      <c r="I15" s="11"/>
      <c r="J15" s="11"/>
      <c r="K15" s="12" t="str">
        <f aca="false">IF(OR($D15="",$G15=""),"",IF($D15="対象外(非端末)","-",IF($D15=$G15,"○","×")))</f>
        <v/>
      </c>
      <c r="L15" s="12" t="str">
        <f aca="false">IF(OR($D15="",$G15=""),"",IF($D15="対象外(非端末)","-",IF(OR($D15=$G15,$D15=$I15,$D15=$J15),"○","×")))</f>
        <v/>
      </c>
      <c r="M15" s="12"/>
      <c r="N15" s="12"/>
      <c r="O15" s="13"/>
    </row>
    <row r="16" customFormat="false" ht="29.85" hidden="false" customHeight="false" outlineLevel="0" collapsed="false">
      <c r="A16" s="9" t="n">
        <v>15</v>
      </c>
      <c r="B16" s="7" t="s">
        <v>43</v>
      </c>
      <c r="C16" s="8"/>
      <c r="D16" s="8" t="s">
        <v>44</v>
      </c>
      <c r="E16" s="9" t="s">
        <v>21</v>
      </c>
      <c r="F16" s="10" t="s">
        <v>46</v>
      </c>
      <c r="G16" s="11"/>
      <c r="H16" s="12"/>
      <c r="I16" s="11"/>
      <c r="J16" s="11"/>
      <c r="K16" s="12" t="str">
        <f aca="false">IF(OR($D16="",$G16=""),"",IF($D16="対象外(非端末)","-",IF($D16=$G16,"○","×")))</f>
        <v/>
      </c>
      <c r="L16" s="12" t="str">
        <f aca="false">IF(OR($D16="",$G16=""),"",IF($D16="対象外(非端末)","-",IF(OR($D16=$G16,$D16=$I16,$D16=$J16),"○","×")))</f>
        <v/>
      </c>
      <c r="M16" s="12"/>
      <c r="N16" s="12"/>
      <c r="O16" s="13"/>
    </row>
    <row r="17" customFormat="false" ht="29.85" hidden="false" customHeight="false" outlineLevel="0" collapsed="false">
      <c r="A17" s="9" t="n">
        <v>16</v>
      </c>
      <c r="B17" s="7" t="s">
        <v>43</v>
      </c>
      <c r="C17" s="8"/>
      <c r="D17" s="8" t="s">
        <v>44</v>
      </c>
      <c r="E17" s="9" t="s">
        <v>21</v>
      </c>
      <c r="F17" s="10" t="s">
        <v>47</v>
      </c>
      <c r="G17" s="11"/>
      <c r="H17" s="12"/>
      <c r="I17" s="11"/>
      <c r="J17" s="11"/>
      <c r="K17" s="12" t="str">
        <f aca="false">IF(OR($D17="",$G17=""),"",IF($D17="対象外(非端末)","-",IF($D17=$G17,"○","×")))</f>
        <v/>
      </c>
      <c r="L17" s="12" t="str">
        <f aca="false">IF(OR($D17="",$G17=""),"",IF($D17="対象外(非端末)","-",IF(OR($D17=$G17,$D17=$I17,$D17=$J17),"○","×")))</f>
        <v/>
      </c>
      <c r="M17" s="12"/>
      <c r="N17" s="12"/>
      <c r="O17" s="13"/>
    </row>
    <row r="18" customFormat="false" ht="29.85" hidden="false" customHeight="false" outlineLevel="0" collapsed="false">
      <c r="A18" s="9" t="n">
        <v>17</v>
      </c>
      <c r="B18" s="7" t="s">
        <v>43</v>
      </c>
      <c r="C18" s="8"/>
      <c r="D18" s="8" t="s">
        <v>44</v>
      </c>
      <c r="E18" s="9" t="s">
        <v>21</v>
      </c>
      <c r="F18" s="10" t="s">
        <v>48</v>
      </c>
      <c r="G18" s="11"/>
      <c r="H18" s="12"/>
      <c r="I18" s="11"/>
      <c r="J18" s="11"/>
      <c r="K18" s="12" t="str">
        <f aca="false">IF(OR($D18="",$G18=""),"",IF($D18="対象外(非端末)","-",IF($D18=$G18,"○","×")))</f>
        <v/>
      </c>
      <c r="L18" s="12" t="str">
        <f aca="false">IF(OR($D18="",$G18=""),"",IF($D18="対象外(非端末)","-",IF(OR($D18=$G18,$D18=$I18,$D18=$J18),"○","×")))</f>
        <v/>
      </c>
      <c r="M18" s="12"/>
      <c r="N18" s="12"/>
      <c r="O18" s="13"/>
    </row>
    <row r="19" customFormat="false" ht="15" hidden="false" customHeight="false" outlineLevel="0" collapsed="false">
      <c r="A19" s="9" t="n">
        <v>18</v>
      </c>
      <c r="B19" s="7" t="s">
        <v>43</v>
      </c>
      <c r="C19" s="8"/>
      <c r="D19" s="8" t="s">
        <v>49</v>
      </c>
      <c r="E19" s="7" t="s">
        <v>50</v>
      </c>
      <c r="F19" s="10" t="s">
        <v>51</v>
      </c>
      <c r="G19" s="11"/>
      <c r="H19" s="12"/>
      <c r="I19" s="11"/>
      <c r="J19" s="11"/>
      <c r="K19" s="12" t="str">
        <f aca="false">IF(OR($D19="",$G19=""),"",IF($D19="対象外(非端末)","-",IF($D19=$G19,"○","×")))</f>
        <v/>
      </c>
      <c r="L19" s="12" t="str">
        <f aca="false">IF(OR($D19="",$G19=""),"",IF($D19="対象外(非端末)","-",IF(OR($D19=$G19,$D19=$I19,$D19=$J19),"○","×")))</f>
        <v/>
      </c>
      <c r="M19" s="12"/>
      <c r="N19" s="12"/>
      <c r="O19" s="13"/>
    </row>
    <row r="20" customFormat="false" ht="15" hidden="false" customHeight="false" outlineLevel="0" collapsed="false">
      <c r="A20" s="9" t="n">
        <v>19</v>
      </c>
      <c r="B20" s="7" t="s">
        <v>43</v>
      </c>
      <c r="C20" s="8"/>
      <c r="D20" s="8" t="s">
        <v>49</v>
      </c>
      <c r="E20" s="7" t="s">
        <v>50</v>
      </c>
      <c r="F20" s="10" t="s">
        <v>52</v>
      </c>
      <c r="G20" s="11"/>
      <c r="H20" s="12"/>
      <c r="I20" s="11"/>
      <c r="J20" s="11"/>
      <c r="K20" s="12" t="str">
        <f aca="false">IF(OR($D20="",$G20=""),"",IF($D20="対象外(非端末)","-",IF($D20=$G20,"○","×")))</f>
        <v/>
      </c>
      <c r="L20" s="12" t="str">
        <f aca="false">IF(OR($D20="",$G20=""),"",IF($D20="対象外(非端末)","-",IF(OR($D20=$G20,$D20=$I20,$D20=$J20),"○","×")))</f>
        <v/>
      </c>
      <c r="M20" s="12"/>
      <c r="N20" s="12"/>
      <c r="O20" s="13"/>
    </row>
    <row r="21" customFormat="false" ht="15" hidden="false" customHeight="false" outlineLevel="0" collapsed="false">
      <c r="A21" s="9" t="n">
        <v>20</v>
      </c>
      <c r="B21" s="7" t="s">
        <v>43</v>
      </c>
      <c r="C21" s="8"/>
      <c r="D21" s="8" t="s">
        <v>49</v>
      </c>
      <c r="E21" s="7" t="s">
        <v>50</v>
      </c>
      <c r="F21" s="10" t="s">
        <v>53</v>
      </c>
      <c r="G21" s="11"/>
      <c r="H21" s="12"/>
      <c r="I21" s="11"/>
      <c r="J21" s="11"/>
      <c r="K21" s="12" t="str">
        <f aca="false">IF(OR($D21="",$G21=""),"",IF($D21="対象外(非端末)","-",IF($D21=$G21,"○","×")))</f>
        <v/>
      </c>
      <c r="L21" s="12" t="str">
        <f aca="false">IF(OR($D21="",$G21=""),"",IF($D21="対象外(非端末)","-",IF(OR($D21=$G21,$D21=$I21,$D21=$J21),"○","×")))</f>
        <v/>
      </c>
      <c r="M21" s="12"/>
      <c r="N21" s="12"/>
      <c r="O21" s="13"/>
    </row>
    <row r="22" customFormat="false" ht="15" hidden="false" customHeight="false" outlineLevel="0" collapsed="false">
      <c r="A22" s="9" t="n">
        <v>21</v>
      </c>
      <c r="B22" s="7" t="s">
        <v>43</v>
      </c>
      <c r="C22" s="8"/>
      <c r="D22" s="8" t="s">
        <v>49</v>
      </c>
      <c r="E22" s="7" t="s">
        <v>50</v>
      </c>
      <c r="F22" s="10" t="s">
        <v>54</v>
      </c>
      <c r="G22" s="11"/>
      <c r="H22" s="12"/>
      <c r="I22" s="11"/>
      <c r="J22" s="11"/>
      <c r="K22" s="12" t="str">
        <f aca="false">IF(OR($D22="",$G22=""),"",IF($D22="対象外(非端末)","-",IF($D22=$G22,"○","×")))</f>
        <v/>
      </c>
      <c r="L22" s="12" t="str">
        <f aca="false">IF(OR($D22="",$G22=""),"",IF($D22="対象外(非端末)","-",IF(OR($D22=$G22,$D22=$I22,$D22=$J22),"○","×")))</f>
        <v/>
      </c>
      <c r="M22" s="12"/>
      <c r="N22" s="12"/>
      <c r="O22" s="13"/>
    </row>
    <row r="23" customFormat="false" ht="29.85" hidden="false" customHeight="false" outlineLevel="0" collapsed="false">
      <c r="A23" s="14" t="n">
        <v>22</v>
      </c>
      <c r="B23" s="14" t="s">
        <v>55</v>
      </c>
      <c r="C23" s="15"/>
      <c r="D23" s="15" t="s">
        <v>56</v>
      </c>
      <c r="E23" s="16" t="s">
        <v>7</v>
      </c>
      <c r="F23" s="17" t="s">
        <v>8</v>
      </c>
      <c r="G23" s="11"/>
      <c r="H23" s="12"/>
      <c r="I23" s="11"/>
      <c r="J23" s="11"/>
      <c r="K23" s="12" t="str">
        <f aca="false">IF(OR($D23="",$G23=""),"",IF($D23="対象外(非端末)","-",IF($D23=$G23,"○","×")))</f>
        <v/>
      </c>
      <c r="L23" s="12" t="str">
        <f aca="false">IF(OR($D23="",$G23=""),"",IF($D23="対象外(非端末)","-",IF(OR($D23=$G23,$D23=$I23,$D23=$J23),"○","×")))</f>
        <v/>
      </c>
      <c r="M23" s="12"/>
      <c r="N23" s="12"/>
      <c r="O23" s="13"/>
    </row>
    <row r="24" customFormat="false" ht="15" hidden="false" customHeight="false" outlineLevel="0" collapsed="false">
      <c r="A24" s="16" t="n">
        <v>23</v>
      </c>
      <c r="B24" s="14" t="s">
        <v>55</v>
      </c>
      <c r="C24" s="15"/>
      <c r="D24" s="15" t="s">
        <v>56</v>
      </c>
      <c r="E24" s="16" t="s">
        <v>9</v>
      </c>
      <c r="F24" s="17" t="s">
        <v>10</v>
      </c>
      <c r="G24" s="11"/>
      <c r="H24" s="12"/>
      <c r="I24" s="11"/>
      <c r="J24" s="11"/>
      <c r="K24" s="12" t="str">
        <f aca="false">IF(OR($D24="",$G24=""),"",IF($D24="対象外(非端末)","-",IF($D24=$G24,"○","×")))</f>
        <v/>
      </c>
      <c r="L24" s="12" t="str">
        <f aca="false">IF(OR($D24="",$G24=""),"",IF($D24="対象外(非端末)","-",IF(OR($D24=$G24,$D24=$I24,$D24=$J24),"○","×")))</f>
        <v/>
      </c>
      <c r="M24" s="12"/>
      <c r="N24" s="12"/>
      <c r="O24" s="13"/>
    </row>
    <row r="25" customFormat="false" ht="15" hidden="false" customHeight="false" outlineLevel="0" collapsed="false">
      <c r="A25" s="16" t="n">
        <v>24</v>
      </c>
      <c r="B25" s="14" t="s">
        <v>55</v>
      </c>
      <c r="C25" s="15"/>
      <c r="D25" s="15" t="s">
        <v>56</v>
      </c>
      <c r="E25" s="16" t="s">
        <v>11</v>
      </c>
      <c r="F25" s="17" t="s">
        <v>12</v>
      </c>
      <c r="G25" s="11"/>
      <c r="H25" s="12"/>
      <c r="I25" s="11"/>
      <c r="J25" s="11"/>
      <c r="K25" s="12" t="str">
        <f aca="false">IF(OR($D25="",$G25=""),"",IF($D25="対象外(非端末)","-",IF($D25=$G25,"○","×")))</f>
        <v/>
      </c>
      <c r="L25" s="12" t="str">
        <f aca="false">IF(OR($D25="",$G25=""),"",IF($D25="対象外(非端末)","-",IF(OR($D25=$G25,$D25=$I25,$D25=$J25),"○","×")))</f>
        <v/>
      </c>
      <c r="M25" s="12"/>
      <c r="N25" s="12"/>
      <c r="O25" s="13"/>
    </row>
    <row r="26" customFormat="false" ht="15" hidden="false" customHeight="false" outlineLevel="0" collapsed="false">
      <c r="A26" s="16" t="n">
        <v>25</v>
      </c>
      <c r="B26" s="14" t="s">
        <v>55</v>
      </c>
      <c r="C26" s="15"/>
      <c r="D26" s="15" t="s">
        <v>56</v>
      </c>
      <c r="E26" s="16" t="s">
        <v>13</v>
      </c>
      <c r="F26" s="17" t="s">
        <v>14</v>
      </c>
      <c r="G26" s="11"/>
      <c r="H26" s="12"/>
      <c r="I26" s="11"/>
      <c r="J26" s="11"/>
      <c r="K26" s="12" t="str">
        <f aca="false">IF(OR($D26="",$G26=""),"",IF($D26="対象外(非端末)","-",IF($D26=$G26,"○","×")))</f>
        <v/>
      </c>
      <c r="L26" s="12" t="str">
        <f aca="false">IF(OR($D26="",$G26=""),"",IF($D26="対象外(非端末)","-",IF(OR($D26=$G26,$D26=$I26,$D26=$J26),"○","×")))</f>
        <v/>
      </c>
      <c r="M26" s="12"/>
      <c r="N26" s="12"/>
      <c r="O26" s="13"/>
    </row>
    <row r="27" customFormat="false" ht="15" hidden="false" customHeight="false" outlineLevel="0" collapsed="false">
      <c r="A27" s="16" t="n">
        <v>26</v>
      </c>
      <c r="B27" s="14" t="s">
        <v>55</v>
      </c>
      <c r="C27" s="15"/>
      <c r="D27" s="15" t="s">
        <v>56</v>
      </c>
      <c r="E27" s="16" t="s">
        <v>15</v>
      </c>
      <c r="F27" s="17" t="s">
        <v>16</v>
      </c>
      <c r="G27" s="11"/>
      <c r="H27" s="12"/>
      <c r="I27" s="11"/>
      <c r="J27" s="11"/>
      <c r="K27" s="12" t="str">
        <f aca="false">IF(OR($D27="",$G27=""),"",IF($D27="対象外(非端末)","-",IF($D27=$G27,"○","×")))</f>
        <v/>
      </c>
      <c r="L27" s="12" t="str">
        <f aca="false">IF(OR($D27="",$G27=""),"",IF($D27="対象外(非端末)","-",IF(OR($D27=$G27,$D27=$I27,$D27=$J27),"○","×")))</f>
        <v/>
      </c>
      <c r="M27" s="12"/>
      <c r="N27" s="12"/>
      <c r="O27" s="13"/>
    </row>
    <row r="28" customFormat="false" ht="15" hidden="false" customHeight="false" outlineLevel="0" collapsed="false">
      <c r="A28" s="16" t="n">
        <v>27</v>
      </c>
      <c r="B28" s="14" t="s">
        <v>55</v>
      </c>
      <c r="C28" s="15"/>
      <c r="D28" s="15" t="s">
        <v>56</v>
      </c>
      <c r="E28" s="16" t="s">
        <v>17</v>
      </c>
      <c r="F28" s="17" t="s">
        <v>18</v>
      </c>
      <c r="G28" s="11"/>
      <c r="H28" s="12"/>
      <c r="I28" s="11"/>
      <c r="J28" s="11"/>
      <c r="K28" s="12" t="str">
        <f aca="false">IF(OR($D28="",$G28=""),"",IF($D28="対象外(非端末)","-",IF($D28=$G28,"○","×")))</f>
        <v/>
      </c>
      <c r="L28" s="12" t="str">
        <f aca="false">IF(OR($D28="",$G28=""),"",IF($D28="対象外(非端末)","-",IF(OR($D28=$G28,$D28=$I28,$D28=$J28),"○","×")))</f>
        <v/>
      </c>
      <c r="M28" s="12"/>
      <c r="N28" s="12"/>
      <c r="O28" s="13"/>
    </row>
    <row r="29" customFormat="false" ht="15" hidden="false" customHeight="false" outlineLevel="0" collapsed="false">
      <c r="A29" s="16" t="n">
        <v>28</v>
      </c>
      <c r="B29" s="14" t="s">
        <v>55</v>
      </c>
      <c r="C29" s="15"/>
      <c r="D29" s="15" t="s">
        <v>56</v>
      </c>
      <c r="E29" s="16" t="s">
        <v>19</v>
      </c>
      <c r="F29" s="17" t="s">
        <v>20</v>
      </c>
      <c r="G29" s="11"/>
      <c r="H29" s="12"/>
      <c r="I29" s="11"/>
      <c r="J29" s="11"/>
      <c r="K29" s="12" t="str">
        <f aca="false">IF(OR($D29="",$G29=""),"",IF($D29="対象外(非端末)","-",IF($D29=$G29,"○","×")))</f>
        <v/>
      </c>
      <c r="L29" s="12" t="str">
        <f aca="false">IF(OR($D29="",$G29=""),"",IF($D29="対象外(非端末)","-",IF(OR($D29=$G29,$D29=$I29,$D29=$J29),"○","×")))</f>
        <v/>
      </c>
      <c r="M29" s="12"/>
      <c r="N29" s="12"/>
      <c r="O29" s="13"/>
    </row>
    <row r="30" customFormat="false" ht="29.85" hidden="false" customHeight="false" outlineLevel="0" collapsed="false">
      <c r="A30" s="16" t="n">
        <v>29</v>
      </c>
      <c r="B30" s="14" t="s">
        <v>55</v>
      </c>
      <c r="C30" s="15"/>
      <c r="D30" s="15" t="s">
        <v>57</v>
      </c>
      <c r="E30" s="16" t="s">
        <v>7</v>
      </c>
      <c r="F30" s="17" t="s">
        <v>8</v>
      </c>
      <c r="G30" s="11"/>
      <c r="H30" s="12"/>
      <c r="I30" s="11"/>
      <c r="J30" s="11"/>
      <c r="K30" s="12" t="str">
        <f aca="false">IF(OR($D30="",$G30=""),"",IF($D30="対象外(非端末)","-",IF($D30=$G30,"○","×")))</f>
        <v/>
      </c>
      <c r="L30" s="12" t="str">
        <f aca="false">IF(OR($D30="",$G30=""),"",IF($D30="対象外(非端末)","-",IF(OR($D30=$G30,$D30=$I30,$D30=$J30),"○","×")))</f>
        <v/>
      </c>
      <c r="M30" s="12"/>
      <c r="N30" s="12"/>
      <c r="O30" s="13"/>
    </row>
    <row r="31" customFormat="false" ht="15" hidden="false" customHeight="false" outlineLevel="0" collapsed="false">
      <c r="A31" s="16" t="n">
        <v>30</v>
      </c>
      <c r="B31" s="14" t="s">
        <v>55</v>
      </c>
      <c r="C31" s="15"/>
      <c r="D31" s="15" t="s">
        <v>57</v>
      </c>
      <c r="E31" s="16" t="s">
        <v>9</v>
      </c>
      <c r="F31" s="17" t="s">
        <v>10</v>
      </c>
      <c r="G31" s="11"/>
      <c r="H31" s="12"/>
      <c r="I31" s="11"/>
      <c r="J31" s="11"/>
      <c r="K31" s="12" t="str">
        <f aca="false">IF(OR($D31="",$G31=""),"",IF($D31="対象外(非端末)","-",IF($D31=$G31,"○","×")))</f>
        <v/>
      </c>
      <c r="L31" s="12" t="str">
        <f aca="false">IF(OR($D31="",$G31=""),"",IF($D31="対象外(非端末)","-",IF(OR($D31=$G31,$D31=$I31,$D31=$J31),"○","×")))</f>
        <v/>
      </c>
      <c r="M31" s="12"/>
      <c r="N31" s="12"/>
      <c r="O31" s="13"/>
    </row>
    <row r="32" customFormat="false" ht="15" hidden="false" customHeight="false" outlineLevel="0" collapsed="false">
      <c r="A32" s="16" t="n">
        <v>31</v>
      </c>
      <c r="B32" s="14" t="s">
        <v>55</v>
      </c>
      <c r="C32" s="15"/>
      <c r="D32" s="15" t="s">
        <v>57</v>
      </c>
      <c r="E32" s="16" t="s">
        <v>11</v>
      </c>
      <c r="F32" s="17" t="s">
        <v>12</v>
      </c>
      <c r="G32" s="11"/>
      <c r="H32" s="12"/>
      <c r="I32" s="11"/>
      <c r="J32" s="11"/>
      <c r="K32" s="12" t="str">
        <f aca="false">IF(OR($D32="",$G32=""),"",IF($D32="対象外(非端末)","-",IF($D32=$G32,"○","×")))</f>
        <v/>
      </c>
      <c r="L32" s="12" t="str">
        <f aca="false">IF(OR($D32="",$G32=""),"",IF($D32="対象外(非端末)","-",IF(OR($D32=$G32,$D32=$I32,$D32=$J32),"○","×")))</f>
        <v/>
      </c>
      <c r="M32" s="12"/>
      <c r="N32" s="12"/>
      <c r="O32" s="13"/>
    </row>
    <row r="33" customFormat="false" ht="15" hidden="false" customHeight="false" outlineLevel="0" collapsed="false">
      <c r="A33" s="16" t="n">
        <v>32</v>
      </c>
      <c r="B33" s="14" t="s">
        <v>55</v>
      </c>
      <c r="C33" s="15"/>
      <c r="D33" s="15" t="s">
        <v>57</v>
      </c>
      <c r="E33" s="16" t="s">
        <v>13</v>
      </c>
      <c r="F33" s="17" t="s">
        <v>14</v>
      </c>
      <c r="G33" s="11"/>
      <c r="H33" s="12"/>
      <c r="I33" s="11"/>
      <c r="J33" s="11"/>
      <c r="K33" s="12" t="str">
        <f aca="false">IF(OR($D33="",$G33=""),"",IF($D33="対象外(非端末)","-",IF($D33=$G33,"○","×")))</f>
        <v/>
      </c>
      <c r="L33" s="12" t="str">
        <f aca="false">IF(OR($D33="",$G33=""),"",IF($D33="対象外(非端末)","-",IF(OR($D33=$G33,$D33=$I33,$D33=$J33),"○","×")))</f>
        <v/>
      </c>
      <c r="M33" s="12"/>
      <c r="N33" s="12"/>
      <c r="O33" s="13"/>
    </row>
    <row r="34" customFormat="false" ht="15" hidden="false" customHeight="false" outlineLevel="0" collapsed="false">
      <c r="A34" s="16" t="n">
        <v>33</v>
      </c>
      <c r="B34" s="14" t="s">
        <v>55</v>
      </c>
      <c r="C34" s="15"/>
      <c r="D34" s="15" t="s">
        <v>57</v>
      </c>
      <c r="E34" s="16" t="s">
        <v>15</v>
      </c>
      <c r="F34" s="17" t="s">
        <v>16</v>
      </c>
      <c r="G34" s="11"/>
      <c r="H34" s="12"/>
      <c r="I34" s="11"/>
      <c r="J34" s="11"/>
      <c r="K34" s="12" t="str">
        <f aca="false">IF(OR($D34="",$G34=""),"",IF($D34="対象外(非端末)","-",IF($D34=$G34,"○","×")))</f>
        <v/>
      </c>
      <c r="L34" s="12" t="str">
        <f aca="false">IF(OR($D34="",$G34=""),"",IF($D34="対象外(非端末)","-",IF(OR($D34=$G34,$D34=$I34,$D34=$J34),"○","×")))</f>
        <v/>
      </c>
      <c r="M34" s="12"/>
      <c r="N34" s="12"/>
      <c r="O34" s="13"/>
    </row>
    <row r="35" customFormat="false" ht="15" hidden="false" customHeight="false" outlineLevel="0" collapsed="false">
      <c r="A35" s="16" t="n">
        <v>34</v>
      </c>
      <c r="B35" s="14" t="s">
        <v>55</v>
      </c>
      <c r="C35" s="15"/>
      <c r="D35" s="15" t="s">
        <v>57</v>
      </c>
      <c r="E35" s="16" t="s">
        <v>17</v>
      </c>
      <c r="F35" s="17" t="s">
        <v>18</v>
      </c>
      <c r="G35" s="11"/>
      <c r="H35" s="12"/>
      <c r="I35" s="11"/>
      <c r="J35" s="11"/>
      <c r="K35" s="12" t="str">
        <f aca="false">IF(OR($D35="",$G35=""),"",IF($D35="対象外(非端末)","-",IF($D35=$G35,"○","×")))</f>
        <v/>
      </c>
      <c r="L35" s="12" t="str">
        <f aca="false">IF(OR($D35="",$G35=""),"",IF($D35="対象外(非端末)","-",IF(OR($D35=$G35,$D35=$I35,$D35=$J35),"○","×")))</f>
        <v/>
      </c>
      <c r="M35" s="12"/>
      <c r="N35" s="12"/>
      <c r="O35" s="13"/>
    </row>
    <row r="36" customFormat="false" ht="15" hidden="false" customHeight="false" outlineLevel="0" collapsed="false">
      <c r="A36" s="16" t="n">
        <v>35</v>
      </c>
      <c r="B36" s="14" t="s">
        <v>55</v>
      </c>
      <c r="C36" s="15"/>
      <c r="D36" s="15" t="s">
        <v>57</v>
      </c>
      <c r="E36" s="16" t="s">
        <v>19</v>
      </c>
      <c r="F36" s="17" t="s">
        <v>20</v>
      </c>
      <c r="G36" s="11"/>
      <c r="H36" s="12"/>
      <c r="I36" s="11"/>
      <c r="J36" s="11"/>
      <c r="K36" s="12" t="str">
        <f aca="false">IF(OR($D36="",$G36=""),"",IF($D36="対象外(非端末)","-",IF($D36=$G36,"○","×")))</f>
        <v/>
      </c>
      <c r="L36" s="12" t="str">
        <f aca="false">IF(OR($D36="",$G36=""),"",IF($D36="対象外(非端末)","-",IF(OR($D36=$G36,$D36=$I36,$D36=$J36),"○","×")))</f>
        <v/>
      </c>
      <c r="M36" s="12"/>
      <c r="N36" s="12"/>
      <c r="O36" s="13"/>
    </row>
    <row r="37" customFormat="false" ht="29.85" hidden="false" customHeight="false" outlineLevel="0" collapsed="false">
      <c r="A37" s="16" t="n">
        <v>36</v>
      </c>
      <c r="B37" s="14" t="s">
        <v>55</v>
      </c>
      <c r="C37" s="15"/>
      <c r="D37" s="15" t="s">
        <v>56</v>
      </c>
      <c r="E37" s="16" t="s">
        <v>21</v>
      </c>
      <c r="F37" s="17" t="s">
        <v>46</v>
      </c>
      <c r="G37" s="11"/>
      <c r="H37" s="12"/>
      <c r="I37" s="11"/>
      <c r="J37" s="11"/>
      <c r="K37" s="12" t="str">
        <f aca="false">IF(OR($D37="",$G37=""),"",IF($D37="対象外(非端末)","-",IF($D37=$G37,"○","×")))</f>
        <v/>
      </c>
      <c r="L37" s="12" t="str">
        <f aca="false">IF(OR($D37="",$G37=""),"",IF($D37="対象外(非端末)","-",IF(OR($D37=$G37,$D37=$I37,$D37=$J37),"○","×")))</f>
        <v/>
      </c>
      <c r="M37" s="12"/>
      <c r="N37" s="12"/>
      <c r="O37" s="13"/>
    </row>
    <row r="38" customFormat="false" ht="29.85" hidden="false" customHeight="false" outlineLevel="0" collapsed="false">
      <c r="A38" s="16" t="n">
        <v>37</v>
      </c>
      <c r="B38" s="14" t="s">
        <v>55</v>
      </c>
      <c r="C38" s="15"/>
      <c r="D38" s="15" t="s">
        <v>56</v>
      </c>
      <c r="E38" s="16" t="s">
        <v>21</v>
      </c>
      <c r="F38" s="17" t="s">
        <v>47</v>
      </c>
      <c r="G38" s="11"/>
      <c r="H38" s="12"/>
      <c r="I38" s="11"/>
      <c r="J38" s="11"/>
      <c r="K38" s="12" t="str">
        <f aca="false">IF(OR($D38="",$G38=""),"",IF($D38="対象外(非端末)","-",IF($D38=$G38,"○","×")))</f>
        <v/>
      </c>
      <c r="L38" s="12" t="str">
        <f aca="false">IF(OR($D38="",$G38=""),"",IF($D38="対象外(非端末)","-",IF(OR($D38=$G38,$D38=$I38,$D38=$J38),"○","×")))</f>
        <v/>
      </c>
      <c r="M38" s="12"/>
      <c r="N38" s="12"/>
      <c r="O38" s="13"/>
    </row>
    <row r="39" customFormat="false" ht="29.85" hidden="false" customHeight="false" outlineLevel="0" collapsed="false">
      <c r="A39" s="16" t="n">
        <v>38</v>
      </c>
      <c r="B39" s="14" t="s">
        <v>55</v>
      </c>
      <c r="C39" s="15"/>
      <c r="D39" s="15" t="s">
        <v>56</v>
      </c>
      <c r="E39" s="16" t="s">
        <v>21</v>
      </c>
      <c r="F39" s="17" t="s">
        <v>48</v>
      </c>
      <c r="G39" s="11"/>
      <c r="H39" s="12"/>
      <c r="I39" s="11"/>
      <c r="J39" s="11"/>
      <c r="K39" s="12" t="str">
        <f aca="false">IF(OR($D39="",$G39=""),"",IF($D39="対象外(非端末)","-",IF($D39=$G39,"○","×")))</f>
        <v/>
      </c>
      <c r="L39" s="12" t="str">
        <f aca="false">IF(OR($D39="",$G39=""),"",IF($D39="対象外(非端末)","-",IF(OR($D39=$G39,$D39=$I39,$D39=$J39),"○","×")))</f>
        <v/>
      </c>
      <c r="M39" s="12"/>
      <c r="N39" s="12"/>
      <c r="O39" s="13"/>
    </row>
    <row r="40" customFormat="false" ht="15" hidden="false" customHeight="false" outlineLevel="0" collapsed="false">
      <c r="A40" s="16" t="n">
        <v>39</v>
      </c>
      <c r="B40" s="14" t="s">
        <v>55</v>
      </c>
      <c r="C40" s="15"/>
      <c r="D40" s="15" t="s">
        <v>49</v>
      </c>
      <c r="E40" s="14" t="s">
        <v>50</v>
      </c>
      <c r="F40" s="17" t="s">
        <v>58</v>
      </c>
      <c r="G40" s="11"/>
      <c r="H40" s="12"/>
      <c r="I40" s="11"/>
      <c r="J40" s="11"/>
      <c r="K40" s="12" t="str">
        <f aca="false">IF(OR($D40="",$G40=""),"",IF($D40="対象外(非端末)","-",IF($D40=$G40,"○","×")))</f>
        <v/>
      </c>
      <c r="L40" s="12" t="str">
        <f aca="false">IF(OR($D40="",$G40=""),"",IF($D40="対象外(非端末)","-",IF(OR($D40=$G40,$D40=$I40,$D40=$J40),"○","×")))</f>
        <v/>
      </c>
      <c r="M40" s="12"/>
      <c r="N40" s="12"/>
      <c r="O40" s="13"/>
    </row>
    <row r="41" customFormat="false" ht="15" hidden="false" customHeight="false" outlineLevel="0" collapsed="false">
      <c r="A41" s="16" t="n">
        <v>40</v>
      </c>
      <c r="B41" s="14" t="s">
        <v>55</v>
      </c>
      <c r="C41" s="15"/>
      <c r="D41" s="15" t="s">
        <v>49</v>
      </c>
      <c r="E41" s="14" t="s">
        <v>50</v>
      </c>
      <c r="F41" s="17" t="s">
        <v>59</v>
      </c>
      <c r="G41" s="11"/>
      <c r="H41" s="12"/>
      <c r="I41" s="11"/>
      <c r="J41" s="11"/>
      <c r="K41" s="12" t="str">
        <f aca="false">IF(OR($D41="",$G41=""),"",IF($D41="対象外(非端末)","-",IF($D41=$G41,"○","×")))</f>
        <v/>
      </c>
      <c r="L41" s="12" t="str">
        <f aca="false">IF(OR($D41="",$G41=""),"",IF($D41="対象外(非端末)","-",IF(OR($D41=$G41,$D41=$I41,$D41=$J41),"○","×")))</f>
        <v/>
      </c>
      <c r="M41" s="12"/>
      <c r="N41" s="12"/>
      <c r="O41" s="13"/>
    </row>
    <row r="42" customFormat="false" ht="15" hidden="false" customHeight="false" outlineLevel="0" collapsed="false">
      <c r="A42" s="16" t="n">
        <v>41</v>
      </c>
      <c r="B42" s="14" t="s">
        <v>55</v>
      </c>
      <c r="C42" s="15"/>
      <c r="D42" s="15" t="s">
        <v>49</v>
      </c>
      <c r="E42" s="14" t="s">
        <v>50</v>
      </c>
      <c r="F42" s="17" t="s">
        <v>60</v>
      </c>
      <c r="G42" s="11"/>
      <c r="H42" s="12"/>
      <c r="I42" s="11"/>
      <c r="J42" s="11"/>
      <c r="K42" s="12" t="str">
        <f aca="false">IF(OR($D42="",$G42=""),"",IF($D42="対象外(非端末)","-",IF($D42=$G42,"○","×")))</f>
        <v/>
      </c>
      <c r="L42" s="12" t="str">
        <f aca="false">IF(OR($D42="",$G42=""),"",IF($D42="対象外(非端末)","-",IF(OR($D42=$G42,$D42=$I42,$D42=$J42),"○","×")))</f>
        <v/>
      </c>
      <c r="M42" s="12"/>
      <c r="N42" s="12"/>
      <c r="O42" s="13"/>
    </row>
    <row r="43" customFormat="false" ht="15" hidden="false" customHeight="false" outlineLevel="0" collapsed="false">
      <c r="A43" s="16" t="n">
        <v>42</v>
      </c>
      <c r="B43" s="14" t="s">
        <v>55</v>
      </c>
      <c r="C43" s="15"/>
      <c r="D43" s="15" t="s">
        <v>49</v>
      </c>
      <c r="E43" s="14" t="s">
        <v>50</v>
      </c>
      <c r="F43" s="17" t="s">
        <v>61</v>
      </c>
      <c r="G43" s="11"/>
      <c r="H43" s="12"/>
      <c r="I43" s="11"/>
      <c r="J43" s="11"/>
      <c r="K43" s="12" t="str">
        <f aca="false">IF(OR($D43="",$G43=""),"",IF($D43="対象外(非端末)","-",IF($D43=$G43,"○","×")))</f>
        <v/>
      </c>
      <c r="L43" s="12" t="str">
        <f aca="false">IF(OR($D43="",$G43=""),"",IF($D43="対象外(非端末)","-",IF(OR($D43=$G43,$D43=$I43,$D43=$J43),"○","×")))</f>
        <v/>
      </c>
      <c r="M43" s="12"/>
      <c r="N43" s="12"/>
      <c r="O43" s="13"/>
    </row>
    <row r="44" customFormat="false" ht="29.85" hidden="false" customHeight="false" outlineLevel="0" collapsed="false">
      <c r="A44" s="18" t="n">
        <v>43</v>
      </c>
      <c r="B44" s="18" t="s">
        <v>62</v>
      </c>
      <c r="C44" s="19"/>
      <c r="D44" s="19" t="s">
        <v>63</v>
      </c>
      <c r="E44" s="20" t="s">
        <v>7</v>
      </c>
      <c r="F44" s="21" t="s">
        <v>8</v>
      </c>
      <c r="G44" s="11"/>
      <c r="H44" s="12"/>
      <c r="I44" s="11"/>
      <c r="J44" s="11"/>
      <c r="K44" s="12" t="str">
        <f aca="false">IF(OR($D44="",$G44=""),"",IF($D44="対象外(非端末)","-",IF($D44=$G44,"○","×")))</f>
        <v/>
      </c>
      <c r="L44" s="12" t="str">
        <f aca="false">IF(OR($D44="",$G44=""),"",IF($D44="対象外(非端末)","-",IF(OR($D44=$G44,$D44=$I44,$D44=$J44),"○","×")))</f>
        <v/>
      </c>
      <c r="M44" s="12"/>
      <c r="N44" s="12"/>
      <c r="O44" s="13"/>
    </row>
    <row r="45" customFormat="false" ht="15" hidden="false" customHeight="false" outlineLevel="0" collapsed="false">
      <c r="A45" s="20" t="n">
        <v>44</v>
      </c>
      <c r="B45" s="18" t="s">
        <v>62</v>
      </c>
      <c r="C45" s="19"/>
      <c r="D45" s="19" t="s">
        <v>63</v>
      </c>
      <c r="E45" s="20" t="s">
        <v>9</v>
      </c>
      <c r="F45" s="21" t="s">
        <v>10</v>
      </c>
      <c r="G45" s="11"/>
      <c r="H45" s="12"/>
      <c r="I45" s="11"/>
      <c r="J45" s="11"/>
      <c r="K45" s="12" t="str">
        <f aca="false">IF(OR($D45="",$G45=""),"",IF($D45="対象外(非端末)","-",IF($D45=$G45,"○","×")))</f>
        <v/>
      </c>
      <c r="L45" s="12" t="str">
        <f aca="false">IF(OR($D45="",$G45=""),"",IF($D45="対象外(非端末)","-",IF(OR($D45=$G45,$D45=$I45,$D45=$J45),"○","×")))</f>
        <v/>
      </c>
      <c r="M45" s="12"/>
      <c r="N45" s="12"/>
      <c r="O45" s="13"/>
    </row>
    <row r="46" customFormat="false" ht="15" hidden="false" customHeight="false" outlineLevel="0" collapsed="false">
      <c r="A46" s="20" t="n">
        <v>45</v>
      </c>
      <c r="B46" s="18" t="s">
        <v>62</v>
      </c>
      <c r="C46" s="19"/>
      <c r="D46" s="19" t="s">
        <v>63</v>
      </c>
      <c r="E46" s="20" t="s">
        <v>11</v>
      </c>
      <c r="F46" s="21" t="s">
        <v>12</v>
      </c>
      <c r="G46" s="11"/>
      <c r="H46" s="12"/>
      <c r="I46" s="11"/>
      <c r="J46" s="11"/>
      <c r="K46" s="12" t="str">
        <f aca="false">IF(OR($D46="",$G46=""),"",IF($D46="対象外(非端末)","-",IF($D46=$G46,"○","×")))</f>
        <v/>
      </c>
      <c r="L46" s="12" t="str">
        <f aca="false">IF(OR($D46="",$G46=""),"",IF($D46="対象外(非端末)","-",IF(OR($D46=$G46,$D46=$I46,$D46=$J46),"○","×")))</f>
        <v/>
      </c>
      <c r="M46" s="12"/>
      <c r="N46" s="12"/>
      <c r="O46" s="13"/>
    </row>
    <row r="47" customFormat="false" ht="15" hidden="false" customHeight="false" outlineLevel="0" collapsed="false">
      <c r="A47" s="20" t="n">
        <v>46</v>
      </c>
      <c r="B47" s="18" t="s">
        <v>62</v>
      </c>
      <c r="C47" s="19"/>
      <c r="D47" s="19" t="s">
        <v>63</v>
      </c>
      <c r="E47" s="20" t="s">
        <v>13</v>
      </c>
      <c r="F47" s="21" t="s">
        <v>14</v>
      </c>
      <c r="G47" s="11"/>
      <c r="H47" s="12"/>
      <c r="I47" s="11"/>
      <c r="J47" s="11"/>
      <c r="K47" s="12" t="str">
        <f aca="false">IF(OR($D47="",$G47=""),"",IF($D47="対象外(非端末)","-",IF($D47=$G47,"○","×")))</f>
        <v/>
      </c>
      <c r="L47" s="12" t="str">
        <f aca="false">IF(OR($D47="",$G47=""),"",IF($D47="対象外(非端末)","-",IF(OR($D47=$G47,$D47=$I47,$D47=$J47),"○","×")))</f>
        <v/>
      </c>
      <c r="M47" s="12"/>
      <c r="N47" s="12"/>
      <c r="O47" s="13"/>
    </row>
    <row r="48" customFormat="false" ht="15" hidden="false" customHeight="false" outlineLevel="0" collapsed="false">
      <c r="A48" s="20" t="n">
        <v>47</v>
      </c>
      <c r="B48" s="18" t="s">
        <v>62</v>
      </c>
      <c r="C48" s="19"/>
      <c r="D48" s="19" t="s">
        <v>63</v>
      </c>
      <c r="E48" s="20" t="s">
        <v>15</v>
      </c>
      <c r="F48" s="21" t="s">
        <v>16</v>
      </c>
      <c r="G48" s="11"/>
      <c r="H48" s="12"/>
      <c r="I48" s="11"/>
      <c r="J48" s="11"/>
      <c r="K48" s="12" t="str">
        <f aca="false">IF(OR($D48="",$G48=""),"",IF($D48="対象外(非端末)","-",IF($D48=$G48,"○","×")))</f>
        <v/>
      </c>
      <c r="L48" s="12" t="str">
        <f aca="false">IF(OR($D48="",$G48=""),"",IF($D48="対象外(非端末)","-",IF(OR($D48=$G48,$D48=$I48,$D48=$J48),"○","×")))</f>
        <v/>
      </c>
      <c r="M48" s="12"/>
      <c r="N48" s="12"/>
      <c r="O48" s="13"/>
    </row>
    <row r="49" customFormat="false" ht="15" hidden="false" customHeight="false" outlineLevel="0" collapsed="false">
      <c r="A49" s="20" t="n">
        <v>48</v>
      </c>
      <c r="B49" s="18" t="s">
        <v>62</v>
      </c>
      <c r="C49" s="19"/>
      <c r="D49" s="19" t="s">
        <v>63</v>
      </c>
      <c r="E49" s="20" t="s">
        <v>17</v>
      </c>
      <c r="F49" s="21" t="s">
        <v>18</v>
      </c>
      <c r="G49" s="11"/>
      <c r="H49" s="12"/>
      <c r="I49" s="11"/>
      <c r="J49" s="11"/>
      <c r="K49" s="12" t="str">
        <f aca="false">IF(OR($D49="",$G49=""),"",IF($D49="対象外(非端末)","-",IF($D49=$G49,"○","×")))</f>
        <v/>
      </c>
      <c r="L49" s="12" t="str">
        <f aca="false">IF(OR($D49="",$G49=""),"",IF($D49="対象外(非端末)","-",IF(OR($D49=$G49,$D49=$I49,$D49=$J49),"○","×")))</f>
        <v/>
      </c>
      <c r="M49" s="12"/>
      <c r="N49" s="12"/>
      <c r="O49" s="13"/>
    </row>
    <row r="50" customFormat="false" ht="15" hidden="false" customHeight="false" outlineLevel="0" collapsed="false">
      <c r="A50" s="20" t="n">
        <v>49</v>
      </c>
      <c r="B50" s="18" t="s">
        <v>62</v>
      </c>
      <c r="C50" s="19"/>
      <c r="D50" s="19" t="s">
        <v>63</v>
      </c>
      <c r="E50" s="20" t="s">
        <v>19</v>
      </c>
      <c r="F50" s="21" t="s">
        <v>20</v>
      </c>
      <c r="G50" s="11"/>
      <c r="H50" s="12"/>
      <c r="I50" s="11"/>
      <c r="J50" s="11"/>
      <c r="K50" s="12" t="str">
        <f aca="false">IF(OR($D50="",$G50=""),"",IF($D50="対象外(非端末)","-",IF($D50=$G50,"○","×")))</f>
        <v/>
      </c>
      <c r="L50" s="12" t="str">
        <f aca="false">IF(OR($D50="",$G50=""),"",IF($D50="対象外(非端末)","-",IF(OR($D50=$G50,$D50=$I50,$D50=$J50),"○","×")))</f>
        <v/>
      </c>
      <c r="M50" s="12"/>
      <c r="N50" s="12"/>
      <c r="O50" s="13"/>
    </row>
    <row r="51" customFormat="false" ht="29.85" hidden="false" customHeight="false" outlineLevel="0" collapsed="false">
      <c r="A51" s="20" t="n">
        <v>50</v>
      </c>
      <c r="B51" s="18" t="s">
        <v>62</v>
      </c>
      <c r="C51" s="19"/>
      <c r="D51" s="19" t="s">
        <v>64</v>
      </c>
      <c r="E51" s="20" t="s">
        <v>7</v>
      </c>
      <c r="F51" s="21" t="s">
        <v>8</v>
      </c>
      <c r="G51" s="11"/>
      <c r="H51" s="12"/>
      <c r="I51" s="11"/>
      <c r="J51" s="11"/>
      <c r="K51" s="12" t="str">
        <f aca="false">IF(OR($D51="",$G51=""),"",IF($D51="対象外(非端末)","-",IF($D51=$G51,"○","×")))</f>
        <v/>
      </c>
      <c r="L51" s="12" t="str">
        <f aca="false">IF(OR($D51="",$G51=""),"",IF($D51="対象外(非端末)","-",IF(OR($D51=$G51,$D51=$I51,$D51=$J51),"○","×")))</f>
        <v/>
      </c>
      <c r="M51" s="12"/>
      <c r="N51" s="12"/>
      <c r="O51" s="13"/>
    </row>
    <row r="52" customFormat="false" ht="15" hidden="false" customHeight="false" outlineLevel="0" collapsed="false">
      <c r="A52" s="20" t="n">
        <v>51</v>
      </c>
      <c r="B52" s="18" t="s">
        <v>62</v>
      </c>
      <c r="C52" s="19"/>
      <c r="D52" s="19" t="s">
        <v>64</v>
      </c>
      <c r="E52" s="20" t="s">
        <v>9</v>
      </c>
      <c r="F52" s="21" t="s">
        <v>10</v>
      </c>
      <c r="G52" s="11"/>
      <c r="H52" s="12"/>
      <c r="I52" s="11"/>
      <c r="J52" s="11"/>
      <c r="K52" s="12" t="str">
        <f aca="false">IF(OR($D52="",$G52=""),"",IF($D52="対象外(非端末)","-",IF($D52=$G52,"○","×")))</f>
        <v/>
      </c>
      <c r="L52" s="12" t="str">
        <f aca="false">IF(OR($D52="",$G52=""),"",IF($D52="対象外(非端末)","-",IF(OR($D52=$G52,$D52=$I52,$D52=$J52),"○","×")))</f>
        <v/>
      </c>
      <c r="M52" s="12"/>
      <c r="N52" s="12"/>
      <c r="O52" s="13"/>
    </row>
    <row r="53" customFormat="false" ht="15" hidden="false" customHeight="false" outlineLevel="0" collapsed="false">
      <c r="A53" s="20" t="n">
        <v>52</v>
      </c>
      <c r="B53" s="18" t="s">
        <v>62</v>
      </c>
      <c r="C53" s="19"/>
      <c r="D53" s="19" t="s">
        <v>64</v>
      </c>
      <c r="E53" s="20" t="s">
        <v>11</v>
      </c>
      <c r="F53" s="21" t="s">
        <v>12</v>
      </c>
      <c r="G53" s="11"/>
      <c r="H53" s="12"/>
      <c r="I53" s="11"/>
      <c r="J53" s="11"/>
      <c r="K53" s="12" t="str">
        <f aca="false">IF(OR($D53="",$G53=""),"",IF($D53="対象外(非端末)","-",IF($D53=$G53,"○","×")))</f>
        <v/>
      </c>
      <c r="L53" s="12" t="str">
        <f aca="false">IF(OR($D53="",$G53=""),"",IF($D53="対象外(非端末)","-",IF(OR($D53=$G53,$D53=$I53,$D53=$J53),"○","×")))</f>
        <v/>
      </c>
      <c r="M53" s="12"/>
      <c r="N53" s="12"/>
      <c r="O53" s="13"/>
    </row>
    <row r="54" customFormat="false" ht="15" hidden="false" customHeight="false" outlineLevel="0" collapsed="false">
      <c r="A54" s="20" t="n">
        <v>53</v>
      </c>
      <c r="B54" s="18" t="s">
        <v>62</v>
      </c>
      <c r="C54" s="19"/>
      <c r="D54" s="19" t="s">
        <v>64</v>
      </c>
      <c r="E54" s="20" t="s">
        <v>13</v>
      </c>
      <c r="F54" s="21" t="s">
        <v>14</v>
      </c>
      <c r="G54" s="11"/>
      <c r="H54" s="12"/>
      <c r="I54" s="11"/>
      <c r="J54" s="11"/>
      <c r="K54" s="12" t="str">
        <f aca="false">IF(OR($D54="",$G54=""),"",IF($D54="対象外(非端末)","-",IF($D54=$G54,"○","×")))</f>
        <v/>
      </c>
      <c r="L54" s="12" t="str">
        <f aca="false">IF(OR($D54="",$G54=""),"",IF($D54="対象外(非端末)","-",IF(OR($D54=$G54,$D54=$I54,$D54=$J54),"○","×")))</f>
        <v/>
      </c>
      <c r="M54" s="12"/>
      <c r="N54" s="12"/>
      <c r="O54" s="13"/>
    </row>
    <row r="55" customFormat="false" ht="15" hidden="false" customHeight="false" outlineLevel="0" collapsed="false">
      <c r="A55" s="20" t="n">
        <v>54</v>
      </c>
      <c r="B55" s="18" t="s">
        <v>62</v>
      </c>
      <c r="C55" s="19"/>
      <c r="D55" s="19" t="s">
        <v>64</v>
      </c>
      <c r="E55" s="20" t="s">
        <v>15</v>
      </c>
      <c r="F55" s="21" t="s">
        <v>16</v>
      </c>
      <c r="G55" s="11"/>
      <c r="H55" s="12"/>
      <c r="I55" s="11"/>
      <c r="J55" s="11"/>
      <c r="K55" s="12" t="str">
        <f aca="false">IF(OR($D55="",$G55=""),"",IF($D55="対象外(非端末)","-",IF($D55=$G55,"○","×")))</f>
        <v/>
      </c>
      <c r="L55" s="12" t="str">
        <f aca="false">IF(OR($D55="",$G55=""),"",IF($D55="対象外(非端末)","-",IF(OR($D55=$G55,$D55=$I55,$D55=$J55),"○","×")))</f>
        <v/>
      </c>
      <c r="M55" s="12"/>
      <c r="N55" s="12"/>
      <c r="O55" s="13"/>
    </row>
    <row r="56" customFormat="false" ht="15" hidden="false" customHeight="false" outlineLevel="0" collapsed="false">
      <c r="A56" s="20" t="n">
        <v>55</v>
      </c>
      <c r="B56" s="18" t="s">
        <v>62</v>
      </c>
      <c r="C56" s="19"/>
      <c r="D56" s="19" t="s">
        <v>64</v>
      </c>
      <c r="E56" s="20" t="s">
        <v>17</v>
      </c>
      <c r="F56" s="21" t="s">
        <v>18</v>
      </c>
      <c r="G56" s="11"/>
      <c r="H56" s="12"/>
      <c r="I56" s="11"/>
      <c r="J56" s="11"/>
      <c r="K56" s="12" t="str">
        <f aca="false">IF(OR($D56="",$G56=""),"",IF($D56="対象外(非端末)","-",IF($D56=$G56,"○","×")))</f>
        <v/>
      </c>
      <c r="L56" s="12" t="str">
        <f aca="false">IF(OR($D56="",$G56=""),"",IF($D56="対象外(非端末)","-",IF(OR($D56=$G56,$D56=$I56,$D56=$J56),"○","×")))</f>
        <v/>
      </c>
      <c r="M56" s="12"/>
      <c r="N56" s="12"/>
      <c r="O56" s="13"/>
    </row>
    <row r="57" customFormat="false" ht="15" hidden="false" customHeight="false" outlineLevel="0" collapsed="false">
      <c r="A57" s="20" t="n">
        <v>56</v>
      </c>
      <c r="B57" s="18" t="s">
        <v>62</v>
      </c>
      <c r="C57" s="19"/>
      <c r="D57" s="19" t="s">
        <v>64</v>
      </c>
      <c r="E57" s="20" t="s">
        <v>19</v>
      </c>
      <c r="F57" s="21" t="s">
        <v>20</v>
      </c>
      <c r="G57" s="11"/>
      <c r="H57" s="12"/>
      <c r="I57" s="11"/>
      <c r="J57" s="11"/>
      <c r="K57" s="12" t="str">
        <f aca="false">IF(OR($D57="",$G57=""),"",IF($D57="対象外(非端末)","-",IF($D57=$G57,"○","×")))</f>
        <v/>
      </c>
      <c r="L57" s="12" t="str">
        <f aca="false">IF(OR($D57="",$G57=""),"",IF($D57="対象外(非端末)","-",IF(OR($D57=$G57,$D57=$I57,$D57=$J57),"○","×")))</f>
        <v/>
      </c>
      <c r="M57" s="12"/>
      <c r="N57" s="12"/>
      <c r="O57" s="13"/>
    </row>
    <row r="58" customFormat="false" ht="29.85" hidden="false" customHeight="false" outlineLevel="0" collapsed="false">
      <c r="A58" s="20" t="n">
        <v>57</v>
      </c>
      <c r="B58" s="18" t="s">
        <v>62</v>
      </c>
      <c r="C58" s="19"/>
      <c r="D58" s="19" t="s">
        <v>63</v>
      </c>
      <c r="E58" s="20" t="s">
        <v>21</v>
      </c>
      <c r="F58" s="21" t="s">
        <v>46</v>
      </c>
      <c r="G58" s="11"/>
      <c r="H58" s="12"/>
      <c r="I58" s="11"/>
      <c r="J58" s="11"/>
      <c r="K58" s="12" t="str">
        <f aca="false">IF(OR($D58="",$G58=""),"",IF($D58="対象外(非端末)","-",IF($D58=$G58,"○","×")))</f>
        <v/>
      </c>
      <c r="L58" s="12" t="str">
        <f aca="false">IF(OR($D58="",$G58=""),"",IF($D58="対象外(非端末)","-",IF(OR($D58=$G58,$D58=$I58,$D58=$J58),"○","×")))</f>
        <v/>
      </c>
      <c r="M58" s="12"/>
      <c r="N58" s="12"/>
      <c r="O58" s="13"/>
    </row>
    <row r="59" customFormat="false" ht="29.85" hidden="false" customHeight="false" outlineLevel="0" collapsed="false">
      <c r="A59" s="20" t="n">
        <v>58</v>
      </c>
      <c r="B59" s="18" t="s">
        <v>62</v>
      </c>
      <c r="C59" s="19"/>
      <c r="D59" s="19" t="s">
        <v>63</v>
      </c>
      <c r="E59" s="20" t="s">
        <v>21</v>
      </c>
      <c r="F59" s="21" t="s">
        <v>47</v>
      </c>
      <c r="G59" s="11"/>
      <c r="H59" s="12"/>
      <c r="I59" s="11"/>
      <c r="J59" s="11"/>
      <c r="K59" s="12" t="str">
        <f aca="false">IF(OR($D59="",$G59=""),"",IF($D59="対象外(非端末)","-",IF($D59=$G59,"○","×")))</f>
        <v/>
      </c>
      <c r="L59" s="12" t="str">
        <f aca="false">IF(OR($D59="",$G59=""),"",IF($D59="対象外(非端末)","-",IF(OR($D59=$G59,$D59=$I59,$D59=$J59),"○","×")))</f>
        <v/>
      </c>
      <c r="M59" s="12"/>
      <c r="N59" s="12"/>
      <c r="O59" s="13"/>
    </row>
    <row r="60" customFormat="false" ht="29.85" hidden="false" customHeight="false" outlineLevel="0" collapsed="false">
      <c r="A60" s="20" t="n">
        <v>59</v>
      </c>
      <c r="B60" s="18" t="s">
        <v>62</v>
      </c>
      <c r="C60" s="19"/>
      <c r="D60" s="19" t="s">
        <v>63</v>
      </c>
      <c r="E60" s="20" t="s">
        <v>21</v>
      </c>
      <c r="F60" s="21" t="s">
        <v>48</v>
      </c>
      <c r="G60" s="11"/>
      <c r="H60" s="12"/>
      <c r="I60" s="11"/>
      <c r="J60" s="11"/>
      <c r="K60" s="12" t="str">
        <f aca="false">IF(OR($D60="",$G60=""),"",IF($D60="対象外(非端末)","-",IF($D60=$G60,"○","×")))</f>
        <v/>
      </c>
      <c r="L60" s="12" t="str">
        <f aca="false">IF(OR($D60="",$G60=""),"",IF($D60="対象外(非端末)","-",IF(OR($D60=$G60,$D60=$I60,$D60=$J60),"○","×")))</f>
        <v/>
      </c>
      <c r="M60" s="12"/>
      <c r="N60" s="12"/>
      <c r="O60" s="13"/>
    </row>
    <row r="61" customFormat="false" ht="15" hidden="false" customHeight="false" outlineLevel="0" collapsed="false">
      <c r="A61" s="20" t="n">
        <v>60</v>
      </c>
      <c r="B61" s="18" t="s">
        <v>62</v>
      </c>
      <c r="C61" s="19"/>
      <c r="D61" s="19" t="s">
        <v>49</v>
      </c>
      <c r="E61" s="18" t="s">
        <v>50</v>
      </c>
      <c r="F61" s="21" t="s">
        <v>65</v>
      </c>
      <c r="G61" s="11"/>
      <c r="H61" s="12"/>
      <c r="I61" s="11"/>
      <c r="J61" s="11"/>
      <c r="K61" s="12" t="str">
        <f aca="false">IF(OR($D61="",$G61=""),"",IF($D61="対象外(非端末)","-",IF($D61=$G61,"○","×")))</f>
        <v/>
      </c>
      <c r="L61" s="12" t="str">
        <f aca="false">IF(OR($D61="",$G61=""),"",IF($D61="対象外(非端末)","-",IF(OR($D61=$G61,$D61=$I61,$D61=$J61),"○","×")))</f>
        <v/>
      </c>
      <c r="M61" s="12"/>
      <c r="N61" s="12"/>
      <c r="O61" s="13"/>
    </row>
    <row r="62" customFormat="false" ht="15" hidden="false" customHeight="false" outlineLevel="0" collapsed="false">
      <c r="A62" s="20" t="n">
        <v>61</v>
      </c>
      <c r="B62" s="18" t="s">
        <v>62</v>
      </c>
      <c r="C62" s="19"/>
      <c r="D62" s="19" t="s">
        <v>49</v>
      </c>
      <c r="E62" s="18" t="s">
        <v>50</v>
      </c>
      <c r="F62" s="21" t="s">
        <v>66</v>
      </c>
      <c r="G62" s="11"/>
      <c r="H62" s="12"/>
      <c r="I62" s="11"/>
      <c r="J62" s="11"/>
      <c r="K62" s="12" t="str">
        <f aca="false">IF(OR($D62="",$G62=""),"",IF($D62="対象外(非端末)","-",IF($D62=$G62,"○","×")))</f>
        <v/>
      </c>
      <c r="L62" s="12" t="str">
        <f aca="false">IF(OR($D62="",$G62=""),"",IF($D62="対象外(非端末)","-",IF(OR($D62=$G62,$D62=$I62,$D62=$J62),"○","×")))</f>
        <v/>
      </c>
      <c r="M62" s="12"/>
      <c r="N62" s="12"/>
      <c r="O62" s="13"/>
    </row>
    <row r="63" customFormat="false" ht="15" hidden="false" customHeight="false" outlineLevel="0" collapsed="false">
      <c r="A63" s="20" t="n">
        <v>62</v>
      </c>
      <c r="B63" s="18" t="s">
        <v>62</v>
      </c>
      <c r="C63" s="19"/>
      <c r="D63" s="19" t="s">
        <v>49</v>
      </c>
      <c r="E63" s="18" t="s">
        <v>50</v>
      </c>
      <c r="F63" s="21" t="s">
        <v>67</v>
      </c>
      <c r="G63" s="11"/>
      <c r="H63" s="12"/>
      <c r="I63" s="11"/>
      <c r="J63" s="11"/>
      <c r="K63" s="12" t="str">
        <f aca="false">IF(OR($D63="",$G63=""),"",IF($D63="対象外(非端末)","-",IF($D63=$G63,"○","×")))</f>
        <v/>
      </c>
      <c r="L63" s="12" t="str">
        <f aca="false">IF(OR($D63="",$G63=""),"",IF($D63="対象外(非端末)","-",IF(OR($D63=$G63,$D63=$I63,$D63=$J63),"○","×")))</f>
        <v/>
      </c>
      <c r="M63" s="12"/>
      <c r="N63" s="12"/>
      <c r="O63" s="13"/>
    </row>
    <row r="64" customFormat="false" ht="15" hidden="false" customHeight="false" outlineLevel="0" collapsed="false">
      <c r="A64" s="20" t="n">
        <v>63</v>
      </c>
      <c r="B64" s="18" t="s">
        <v>62</v>
      </c>
      <c r="C64" s="19"/>
      <c r="D64" s="19" t="s">
        <v>49</v>
      </c>
      <c r="E64" s="18" t="s">
        <v>50</v>
      </c>
      <c r="F64" s="21" t="s">
        <v>68</v>
      </c>
      <c r="G64" s="11"/>
      <c r="H64" s="12"/>
      <c r="I64" s="11"/>
      <c r="J64" s="11"/>
      <c r="K64" s="12" t="str">
        <f aca="false">IF(OR($D64="",$G64=""),"",IF($D64="対象外(非端末)","-",IF($D64=$G64,"○","×")))</f>
        <v/>
      </c>
      <c r="L64" s="12" t="str">
        <f aca="false">IF(OR($D64="",$G64=""),"",IF($D64="対象外(非端末)","-",IF(OR($D64=$G64,$D64=$I64,$D64=$J64),"○","×")))</f>
        <v/>
      </c>
      <c r="M64" s="12"/>
      <c r="N64" s="12"/>
      <c r="O64" s="13"/>
    </row>
    <row r="65" customFormat="false" ht="15" hidden="false" customHeight="false" outlineLevel="0" collapsed="false">
      <c r="A65" s="12" t="n">
        <v>64</v>
      </c>
      <c r="B65" s="12"/>
      <c r="C65" s="11"/>
      <c r="D65" s="11"/>
      <c r="E65" s="12" t="s">
        <v>69</v>
      </c>
      <c r="F65" s="13"/>
      <c r="G65" s="11"/>
      <c r="H65" s="12"/>
      <c r="I65" s="11"/>
      <c r="J65" s="11"/>
      <c r="K65" s="12" t="str">
        <f aca="false">IF(OR($D65="",$G65=""),"",IF($D65="対象外(非端末)","-",IF($D65=$G65,"○","×")))</f>
        <v/>
      </c>
      <c r="L65" s="12" t="str">
        <f aca="false">IF(OR($D65="",$G65=""),"",IF($D65="対象外(非端末)","-",IF(OR($D65=$G65,$D65=$I65,$D65=$J65),"○","×")))</f>
        <v/>
      </c>
      <c r="M65" s="12"/>
      <c r="N65" s="12"/>
      <c r="O65" s="13"/>
    </row>
    <row r="66" customFormat="false" ht="15" hidden="false" customHeight="false" outlineLevel="0" collapsed="false">
      <c r="A66" s="12" t="n">
        <v>65</v>
      </c>
      <c r="B66" s="12"/>
      <c r="C66" s="11"/>
      <c r="D66" s="11"/>
      <c r="E66" s="12" t="s">
        <v>69</v>
      </c>
      <c r="F66" s="13"/>
      <c r="G66" s="11"/>
      <c r="H66" s="12"/>
      <c r="I66" s="11"/>
      <c r="J66" s="11"/>
      <c r="K66" s="12" t="str">
        <f aca="false">IF(OR($D66="",$G66=""),"",IF($D66="対象外(非端末)","-",IF($D66=$G66,"○","×")))</f>
        <v/>
      </c>
      <c r="L66" s="12" t="str">
        <f aca="false">IF(OR($D66="",$G66=""),"",IF($D66="対象外(非端末)","-",IF(OR($D66=$G66,$D66=$I66,$D66=$J66),"○","×")))</f>
        <v/>
      </c>
      <c r="M66" s="12"/>
      <c r="N66" s="12"/>
      <c r="O66" s="13"/>
    </row>
    <row r="67" customFormat="false" ht="15" hidden="false" customHeight="false" outlineLevel="0" collapsed="false">
      <c r="A67" s="12" t="n">
        <v>66</v>
      </c>
      <c r="B67" s="12"/>
      <c r="C67" s="11"/>
      <c r="D67" s="11"/>
      <c r="E67" s="12" t="s">
        <v>69</v>
      </c>
      <c r="F67" s="13"/>
      <c r="G67" s="11"/>
      <c r="H67" s="12"/>
      <c r="I67" s="11"/>
      <c r="J67" s="11"/>
      <c r="K67" s="12" t="str">
        <f aca="false">IF(OR($D67="",$G67=""),"",IF($D67="対象外(非端末)","-",IF($D67=$G67,"○","×")))</f>
        <v/>
      </c>
      <c r="L67" s="12" t="str">
        <f aca="false">IF(OR($D67="",$G67=""),"",IF($D67="対象外(非端末)","-",IF(OR($D67=$G67,$D67=$I67,$D67=$J67),"○","×")))</f>
        <v/>
      </c>
      <c r="M67" s="12"/>
      <c r="N67" s="12"/>
      <c r="O67" s="13"/>
    </row>
    <row r="68" customFormat="false" ht="15" hidden="false" customHeight="false" outlineLevel="0" collapsed="false">
      <c r="A68" s="12" t="n">
        <v>67</v>
      </c>
      <c r="B68" s="12"/>
      <c r="C68" s="11"/>
      <c r="D68" s="11"/>
      <c r="E68" s="12" t="s">
        <v>69</v>
      </c>
      <c r="F68" s="13"/>
      <c r="G68" s="11"/>
      <c r="H68" s="12"/>
      <c r="I68" s="11"/>
      <c r="J68" s="11"/>
      <c r="K68" s="12" t="str">
        <f aca="false">IF(OR($D68="",$G68=""),"",IF($D68="対象外(非端末)","-",IF($D68=$G68,"○","×")))</f>
        <v/>
      </c>
      <c r="L68" s="12" t="str">
        <f aca="false">IF(OR($D68="",$G68=""),"",IF($D68="対象外(非端末)","-",IF(OR($D68=$G68,$D68=$I68,$D68=$J68),"○","×")))</f>
        <v/>
      </c>
      <c r="M68" s="12"/>
      <c r="N68" s="12"/>
      <c r="O68" s="13"/>
    </row>
    <row r="69" customFormat="false" ht="15" hidden="false" customHeight="false" outlineLevel="0" collapsed="false">
      <c r="A69" s="12" t="n">
        <v>68</v>
      </c>
      <c r="B69" s="12"/>
      <c r="C69" s="11"/>
      <c r="D69" s="11"/>
      <c r="E69" s="12" t="s">
        <v>69</v>
      </c>
      <c r="F69" s="13"/>
      <c r="G69" s="11"/>
      <c r="H69" s="12"/>
      <c r="I69" s="11"/>
      <c r="J69" s="11"/>
      <c r="K69" s="12" t="str">
        <f aca="false">IF(OR($D69="",$G69=""),"",IF($D69="対象外(非端末)","-",IF($D69=$G69,"○","×")))</f>
        <v/>
      </c>
      <c r="L69" s="12" t="str">
        <f aca="false">IF(OR($D69="",$G69=""),"",IF($D69="対象外(非端末)","-",IF(OR($D69=$G69,$D69=$I69,$D69=$J69),"○","×")))</f>
        <v/>
      </c>
      <c r="M69" s="12"/>
      <c r="N69" s="12"/>
      <c r="O69" s="13"/>
    </row>
    <row r="70" customFormat="false" ht="15" hidden="false" customHeight="false" outlineLevel="0" collapsed="false">
      <c r="A70" s="12" t="n">
        <v>69</v>
      </c>
      <c r="B70" s="12"/>
      <c r="C70" s="11"/>
      <c r="D70" s="11"/>
      <c r="E70" s="12" t="s">
        <v>69</v>
      </c>
      <c r="F70" s="13"/>
      <c r="G70" s="11"/>
      <c r="H70" s="12"/>
      <c r="I70" s="11"/>
      <c r="J70" s="11"/>
      <c r="K70" s="12" t="str">
        <f aca="false">IF(OR($D70="",$G70=""),"",IF($D70="対象外(非端末)","-",IF($D70=$G70,"○","×")))</f>
        <v/>
      </c>
      <c r="L70" s="12" t="str">
        <f aca="false">IF(OR($D70="",$G70=""),"",IF($D70="対象外(非端末)","-",IF(OR($D70=$G70,$D70=$I70,$D70=$J70),"○","×")))</f>
        <v/>
      </c>
      <c r="M70" s="12"/>
      <c r="N70" s="12"/>
      <c r="O70" s="13"/>
    </row>
    <row r="71" customFormat="false" ht="15" hidden="false" customHeight="false" outlineLevel="0" collapsed="false">
      <c r="A71" s="12" t="n">
        <v>70</v>
      </c>
      <c r="B71" s="12"/>
      <c r="C71" s="11"/>
      <c r="D71" s="11"/>
      <c r="E71" s="12" t="s">
        <v>69</v>
      </c>
      <c r="F71" s="13"/>
      <c r="G71" s="11"/>
      <c r="H71" s="12"/>
      <c r="I71" s="11"/>
      <c r="J71" s="11"/>
      <c r="K71" s="12" t="str">
        <f aca="false">IF(OR($D71="",$G71=""),"",IF($D71="対象外(非端末)","-",IF($D71=$G71,"○","×")))</f>
        <v/>
      </c>
      <c r="L71" s="12" t="str">
        <f aca="false">IF(OR($D71="",$G71=""),"",IF($D71="対象外(非端末)","-",IF(OR($D71=$G71,$D71=$I71,$D71=$J71),"○","×")))</f>
        <v/>
      </c>
      <c r="M71" s="12"/>
      <c r="N71" s="12"/>
      <c r="O71" s="13"/>
    </row>
    <row r="72" customFormat="false" ht="15" hidden="false" customHeight="false" outlineLevel="0" collapsed="false">
      <c r="A72" s="12" t="n">
        <v>71</v>
      </c>
      <c r="B72" s="12"/>
      <c r="C72" s="11"/>
      <c r="D72" s="11"/>
      <c r="E72" s="12" t="s">
        <v>69</v>
      </c>
      <c r="F72" s="13"/>
      <c r="G72" s="11"/>
      <c r="H72" s="12"/>
      <c r="I72" s="11"/>
      <c r="J72" s="11"/>
      <c r="K72" s="12" t="str">
        <f aca="false">IF(OR($D72="",$G72=""),"",IF($D72="対象外(非端末)","-",IF($D72=$G72,"○","×")))</f>
        <v/>
      </c>
      <c r="L72" s="12" t="str">
        <f aca="false">IF(OR($D72="",$G72=""),"",IF($D72="対象外(非端末)","-",IF(OR($D72=$G72,$D72=$I72,$D72=$J72),"○","×")))</f>
        <v/>
      </c>
      <c r="M72" s="12"/>
      <c r="N72" s="12"/>
      <c r="O72" s="13"/>
    </row>
    <row r="73" customFormat="false" ht="15" hidden="false" customHeight="false" outlineLevel="0" collapsed="false">
      <c r="A73" s="12" t="n">
        <v>72</v>
      </c>
      <c r="B73" s="12"/>
      <c r="C73" s="11"/>
      <c r="D73" s="11"/>
      <c r="E73" s="12" t="s">
        <v>69</v>
      </c>
      <c r="F73" s="13"/>
      <c r="G73" s="11"/>
      <c r="H73" s="12"/>
      <c r="I73" s="11"/>
      <c r="J73" s="11"/>
      <c r="K73" s="12" t="str">
        <f aca="false">IF(OR($D73="",$G73=""),"",IF($D73="対象外(非端末)","-",IF($D73=$G73,"○","×")))</f>
        <v/>
      </c>
      <c r="L73" s="12" t="str">
        <f aca="false">IF(OR($D73="",$G73=""),"",IF($D73="対象外(非端末)","-",IF(OR($D73=$G73,$D73=$I73,$D73=$J73),"○","×")))</f>
        <v/>
      </c>
      <c r="M73" s="12"/>
      <c r="N73" s="12"/>
      <c r="O73" s="13"/>
    </row>
    <row r="74" customFormat="false" ht="15" hidden="false" customHeight="false" outlineLevel="0" collapsed="false">
      <c r="A74" s="12" t="n">
        <v>73</v>
      </c>
      <c r="B74" s="12"/>
      <c r="C74" s="11"/>
      <c r="D74" s="11"/>
      <c r="E74" s="12" t="s">
        <v>69</v>
      </c>
      <c r="F74" s="13"/>
      <c r="G74" s="11"/>
      <c r="H74" s="12"/>
      <c r="I74" s="11"/>
      <c r="J74" s="11"/>
      <c r="K74" s="12" t="str">
        <f aca="false">IF(OR($D74="",$G74=""),"",IF($D74="対象外(非端末)","-",IF($D74=$G74,"○","×")))</f>
        <v/>
      </c>
      <c r="L74" s="12" t="str">
        <f aca="false">IF(OR($D74="",$G74=""),"",IF($D74="対象外(非端末)","-",IF(OR($D74=$G74,$D74=$I74,$D74=$J74),"○","×")))</f>
        <v/>
      </c>
      <c r="M74" s="12"/>
      <c r="N74" s="12"/>
      <c r="O74" s="13"/>
    </row>
    <row r="75" customFormat="false" ht="15" hidden="false" customHeight="false" outlineLevel="0" collapsed="false">
      <c r="A75" s="12" t="n">
        <v>74</v>
      </c>
      <c r="B75" s="12"/>
      <c r="C75" s="11"/>
      <c r="D75" s="11"/>
      <c r="E75" s="12" t="s">
        <v>69</v>
      </c>
      <c r="F75" s="13"/>
      <c r="G75" s="11"/>
      <c r="H75" s="12"/>
      <c r="I75" s="11"/>
      <c r="J75" s="11"/>
      <c r="K75" s="12" t="str">
        <f aca="false">IF(OR($D75="",$G75=""),"",IF($D75="対象外(非端末)","-",IF($D75=$G75,"○","×")))</f>
        <v/>
      </c>
      <c r="L75" s="12" t="str">
        <f aca="false">IF(OR($D75="",$G75=""),"",IF($D75="対象外(非端末)","-",IF(OR($D75=$G75,$D75=$I75,$D75=$J75),"○","×")))</f>
        <v/>
      </c>
      <c r="M75" s="12"/>
      <c r="N75" s="12"/>
      <c r="O75" s="13"/>
    </row>
    <row r="76" customFormat="false" ht="15" hidden="false" customHeight="false" outlineLevel="0" collapsed="false">
      <c r="A76" s="12" t="n">
        <v>75</v>
      </c>
      <c r="B76" s="12"/>
      <c r="C76" s="11"/>
      <c r="D76" s="11"/>
      <c r="E76" s="12" t="s">
        <v>69</v>
      </c>
      <c r="F76" s="13"/>
      <c r="G76" s="11"/>
      <c r="H76" s="12"/>
      <c r="I76" s="11"/>
      <c r="J76" s="11"/>
      <c r="K76" s="12" t="str">
        <f aca="false">IF(OR($D76="",$G76=""),"",IF($D76="対象外(非端末)","-",IF($D76=$G76,"○","×")))</f>
        <v/>
      </c>
      <c r="L76" s="12" t="str">
        <f aca="false">IF(OR($D76="",$G76=""),"",IF($D76="対象外(非端末)","-",IF(OR($D76=$G76,$D76=$I76,$D76=$J76),"○","×")))</f>
        <v/>
      </c>
      <c r="M76" s="12"/>
      <c r="N76" s="12"/>
      <c r="O76" s="13"/>
    </row>
    <row r="77" customFormat="false" ht="15" hidden="false" customHeight="false" outlineLevel="0" collapsed="false">
      <c r="A77" s="12" t="n">
        <v>76</v>
      </c>
      <c r="B77" s="12"/>
      <c r="C77" s="11"/>
      <c r="D77" s="11"/>
      <c r="E77" s="12" t="s">
        <v>69</v>
      </c>
      <c r="F77" s="13"/>
      <c r="G77" s="11"/>
      <c r="H77" s="12"/>
      <c r="I77" s="11"/>
      <c r="J77" s="11"/>
      <c r="K77" s="12" t="str">
        <f aca="false">IF(OR($D77="",$G77=""),"",IF($D77="対象外(非端末)","-",IF($D77=$G77,"○","×")))</f>
        <v/>
      </c>
      <c r="L77" s="12" t="str">
        <f aca="false">IF(OR($D77="",$G77=""),"",IF($D77="対象外(非端末)","-",IF(OR($D77=$G77,$D77=$I77,$D77=$J77),"○","×")))</f>
        <v/>
      </c>
      <c r="M77" s="12"/>
      <c r="N77" s="12"/>
      <c r="O77" s="13"/>
    </row>
    <row r="78" customFormat="false" ht="15" hidden="false" customHeight="false" outlineLevel="0" collapsed="false">
      <c r="A78" s="12" t="n">
        <v>77</v>
      </c>
      <c r="B78" s="12"/>
      <c r="C78" s="11"/>
      <c r="D78" s="11"/>
      <c r="E78" s="12" t="s">
        <v>69</v>
      </c>
      <c r="F78" s="13"/>
      <c r="G78" s="11"/>
      <c r="H78" s="12"/>
      <c r="I78" s="11"/>
      <c r="J78" s="11"/>
      <c r="K78" s="12" t="str">
        <f aca="false">IF(OR($D78="",$G78=""),"",IF($D78="対象外(非端末)","-",IF($D78=$G78,"○","×")))</f>
        <v/>
      </c>
      <c r="L78" s="12" t="str">
        <f aca="false">IF(OR($D78="",$G78=""),"",IF($D78="対象外(非端末)","-",IF(OR($D78=$G78,$D78=$I78,$D78=$J78),"○","×")))</f>
        <v/>
      </c>
      <c r="M78" s="12"/>
      <c r="N78" s="12"/>
      <c r="O78" s="13"/>
    </row>
    <row r="79" customFormat="false" ht="15" hidden="false" customHeight="false" outlineLevel="0" collapsed="false">
      <c r="A79" s="12" t="n">
        <v>78</v>
      </c>
      <c r="B79" s="12"/>
      <c r="C79" s="11"/>
      <c r="D79" s="11"/>
      <c r="E79" s="12" t="s">
        <v>69</v>
      </c>
      <c r="F79" s="13"/>
      <c r="G79" s="11"/>
      <c r="H79" s="12"/>
      <c r="I79" s="11"/>
      <c r="J79" s="11"/>
      <c r="K79" s="12" t="str">
        <f aca="false">IF(OR($D79="",$G79=""),"",IF($D79="対象外(非端末)","-",IF($D79=$G79,"○","×")))</f>
        <v/>
      </c>
      <c r="L79" s="12" t="str">
        <f aca="false">IF(OR($D79="",$G79=""),"",IF($D79="対象外(非端末)","-",IF(OR($D79=$G79,$D79=$I79,$D79=$J79),"○","×")))</f>
        <v/>
      </c>
      <c r="M79" s="12"/>
      <c r="N79" s="12"/>
      <c r="O79" s="13"/>
    </row>
  </sheetData>
  <dataValidations count="5">
    <dataValidation allowBlank="true" errorStyle="stop" operator="between" showDropDown="false" showErrorMessage="true" showInputMessage="false" sqref="G2:G79 I2:J79" type="list">
      <formula1>"スマートフォン,ガラケー,タブレット,デジタルカメラ,携帯ゲーム機,その他小型家電,該当なし"</formula1>
      <formula2>0</formula2>
    </dataValidation>
    <dataValidation allowBlank="true" errorStyle="stop" operator="between" showDropDown="false" showErrorMessage="false" showInputMessage="false" sqref="N2:N79" type="list">
      <formula1>"～3秒,3～5秒,5秒以上"</formula1>
      <formula2>0</formula2>
    </dataValidation>
    <dataValidation allowBlank="true" errorStyle="stop" operator="between" showDropDown="false" showErrorMessage="false" showInputMessage="false" sqref="M2:M79" type="list">
      <formula1>"○"</formula1>
      <formula2>0</formula2>
    </dataValidation>
    <dataValidation allowBlank="true" errorStyle="stop" operator="between" showDropDown="false" showErrorMessage="false" showInputMessage="false" sqref="B65:B79" type="list">
      <formula1>"A,B,C"</formula1>
      <formula2>0</formula2>
    </dataValidation>
    <dataValidation allowBlank="true" errorStyle="stop" operator="between" showDropDown="false" showErrorMessage="false" showInputMessage="false" sqref="D65:D79" type="list">
      <formula1>"スマートフォン,ガラケー,タブレット,デジタルカメラ,携帯ゲーム機,その他小型家電,対象外(非端末)"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38.21"/>
    <col collapsed="false" customWidth="true" hidden="false" outlineLevel="0" max="6" min="2" style="0" width="10.92"/>
  </cols>
  <sheetData>
    <row r="1" customFormat="false" ht="16.15" hidden="false" customHeight="false" outlineLevel="0" collapsed="false">
      <c r="A1" s="1" t="s">
        <v>70</v>
      </c>
    </row>
    <row r="3" customFormat="false" ht="15" hidden="false" customHeight="false" outlineLevel="0" collapsed="false">
      <c r="A3" s="4" t="s">
        <v>71</v>
      </c>
    </row>
    <row r="4" customFormat="false" ht="15" hidden="false" customHeight="false" outlineLevel="0" collapsed="false">
      <c r="A4" s="2" t="s">
        <v>72</v>
      </c>
      <c r="B4" s="2" t="n">
        <f aca="false">COUNTIFS(記録シート!$D$2:$D$79,"&lt;&gt;対象外(非端末)",記録シート!$D$2:$D$79,"&lt;&gt;",記録シート!$G$2:$G$79,"&lt;&gt;")</f>
        <v>0</v>
      </c>
    </row>
    <row r="5" customFormat="false" ht="15" hidden="false" customHeight="false" outlineLevel="0" collapsed="false">
      <c r="A5" s="3" t="s">
        <v>73</v>
      </c>
      <c r="B5" s="2" t="n">
        <f aca="false">COUNTIF(記録シート!$K$2:$K$79,"○")</f>
        <v>0</v>
      </c>
    </row>
    <row r="6" customFormat="false" ht="15" hidden="false" customHeight="false" outlineLevel="0" collapsed="false">
      <c r="A6" s="3" t="s">
        <v>74</v>
      </c>
      <c r="B6" s="22" t="str">
        <f aca="false">IF(B4=0,"-",B5/B4)</f>
        <v>-</v>
      </c>
    </row>
    <row r="7" customFormat="false" ht="15" hidden="false" customHeight="false" outlineLevel="0" collapsed="false">
      <c r="A7" s="3" t="s">
        <v>75</v>
      </c>
      <c r="B7" s="2" t="n">
        <f aca="false">COUNTIF(記録シート!$L$2:$L$79,"○")</f>
        <v>0</v>
      </c>
    </row>
    <row r="8" customFormat="false" ht="15" hidden="false" customHeight="false" outlineLevel="0" collapsed="false">
      <c r="A8" s="3" t="s">
        <v>76</v>
      </c>
      <c r="B8" s="22" t="str">
        <f aca="false">IF(B4=0,"-",B7/B4)</f>
        <v>-</v>
      </c>
    </row>
    <row r="9" customFormat="false" ht="15" hidden="false" customHeight="false" outlineLevel="0" collapsed="false">
      <c r="A9" s="4" t="s">
        <v>77</v>
      </c>
      <c r="B9" s="2" t="str">
        <f aca="false">IF(B4=0,"未実施",IF(B6&gt;=0.75,"合格","不合格"))</f>
        <v>未実施</v>
      </c>
    </row>
    <row r="10" customFormat="false" ht="15" hidden="false" customHeight="false" outlineLevel="0" collapsed="false">
      <c r="A10" s="4" t="s">
        <v>78</v>
      </c>
      <c r="B10" s="2" t="str">
        <f aca="false">IF(B4=0,"未実施",IF(B8&gt;=0.9,"合格","不合格"))</f>
        <v>未実施</v>
      </c>
    </row>
    <row r="12" customFormat="false" ht="15" hidden="false" customHeight="false" outlineLevel="0" collapsed="false">
      <c r="A12" s="4" t="s">
        <v>79</v>
      </c>
    </row>
    <row r="13" customFormat="false" ht="15" hidden="false" customHeight="false" outlineLevel="0" collapsed="false">
      <c r="A13" s="23" t="s">
        <v>31</v>
      </c>
      <c r="B13" s="23" t="s">
        <v>80</v>
      </c>
      <c r="C13" s="24" t="s">
        <v>81</v>
      </c>
      <c r="D13" s="24" t="s">
        <v>82</v>
      </c>
      <c r="E13" s="24" t="s">
        <v>83</v>
      </c>
      <c r="F13" s="24" t="s">
        <v>84</v>
      </c>
    </row>
    <row r="14" customFormat="false" ht="15" hidden="false" customHeight="false" outlineLevel="0" collapsed="false">
      <c r="A14" s="11" t="s">
        <v>44</v>
      </c>
      <c r="B14" s="11" t="n">
        <f aca="false">COUNTIFS(記録シート!$D$2:$D$79,"スマートフォン",記録シート!$G$2:$G$79,"&lt;&gt;")</f>
        <v>0</v>
      </c>
      <c r="C14" s="11" t="n">
        <f aca="false">COUNTIFS(記録シート!$D$2:$D$79,"スマートフォン",記録シート!$K$2:$K$79,"○")</f>
        <v>0</v>
      </c>
      <c r="D14" s="25" t="str">
        <f aca="false">IF(B14=0,"-",C14/B14)</f>
        <v>-</v>
      </c>
      <c r="E14" s="11" t="n">
        <f aca="false">COUNTIFS(記録シート!$D$2:$D$79,"スマートフォン",記録シート!$L$2:$L$79,"○")</f>
        <v>0</v>
      </c>
      <c r="F14" s="25" t="str">
        <f aca="false">IF(B14=0,"-",E14/B14)</f>
        <v>-</v>
      </c>
    </row>
    <row r="15" customFormat="false" ht="15" hidden="false" customHeight="false" outlineLevel="0" collapsed="false">
      <c r="A15" s="11" t="s">
        <v>45</v>
      </c>
      <c r="B15" s="11" t="n">
        <f aca="false">COUNTIFS(記録シート!$D$2:$D$79,"ガラケー",記録シート!$G$2:$G$79,"&lt;&gt;")</f>
        <v>0</v>
      </c>
      <c r="C15" s="11" t="n">
        <f aca="false">COUNTIFS(記録シート!$D$2:$D$79,"ガラケー",記録シート!$K$2:$K$79,"○")</f>
        <v>0</v>
      </c>
      <c r="D15" s="25" t="str">
        <f aca="false">IF(B15=0,"-",C15/B15)</f>
        <v>-</v>
      </c>
      <c r="E15" s="11" t="n">
        <f aca="false">COUNTIFS(記録シート!$D$2:$D$79,"ガラケー",記録シート!$L$2:$L$79,"○")</f>
        <v>0</v>
      </c>
      <c r="F15" s="25" t="str">
        <f aca="false">IF(B15=0,"-",E15/B15)</f>
        <v>-</v>
      </c>
    </row>
    <row r="16" customFormat="false" ht="15" hidden="false" customHeight="false" outlineLevel="0" collapsed="false">
      <c r="A16" s="11" t="s">
        <v>56</v>
      </c>
      <c r="B16" s="11" t="n">
        <f aca="false">COUNTIFS(記録シート!$D$2:$D$79,"タブレット",記録シート!$G$2:$G$79,"&lt;&gt;")</f>
        <v>0</v>
      </c>
      <c r="C16" s="11" t="n">
        <f aca="false">COUNTIFS(記録シート!$D$2:$D$79,"タブレット",記録シート!$K$2:$K$79,"○")</f>
        <v>0</v>
      </c>
      <c r="D16" s="25" t="str">
        <f aca="false">IF(B16=0,"-",C16/B16)</f>
        <v>-</v>
      </c>
      <c r="E16" s="11" t="n">
        <f aca="false">COUNTIFS(記録シート!$D$2:$D$79,"タブレット",記録シート!$L$2:$L$79,"○")</f>
        <v>0</v>
      </c>
      <c r="F16" s="25" t="str">
        <f aca="false">IF(B16=0,"-",E16/B16)</f>
        <v>-</v>
      </c>
    </row>
    <row r="17" customFormat="false" ht="15" hidden="false" customHeight="false" outlineLevel="0" collapsed="false">
      <c r="A17" s="11" t="s">
        <v>57</v>
      </c>
      <c r="B17" s="11" t="n">
        <f aca="false">COUNTIFS(記録シート!$D$2:$D$79,"デジタルカメラ",記録シート!$G$2:$G$79,"&lt;&gt;")</f>
        <v>0</v>
      </c>
      <c r="C17" s="11" t="n">
        <f aca="false">COUNTIFS(記録シート!$D$2:$D$79,"デジタルカメラ",記録シート!$K$2:$K$79,"○")</f>
        <v>0</v>
      </c>
      <c r="D17" s="25" t="str">
        <f aca="false">IF(B17=0,"-",C17/B17)</f>
        <v>-</v>
      </c>
      <c r="E17" s="11" t="n">
        <f aca="false">COUNTIFS(記録シート!$D$2:$D$79,"デジタルカメラ",記録シート!$L$2:$L$79,"○")</f>
        <v>0</v>
      </c>
      <c r="F17" s="25" t="str">
        <f aca="false">IF(B17=0,"-",E17/B17)</f>
        <v>-</v>
      </c>
    </row>
    <row r="18" customFormat="false" ht="15" hidden="false" customHeight="false" outlineLevel="0" collapsed="false">
      <c r="A18" s="11" t="s">
        <v>63</v>
      </c>
      <c r="B18" s="11" t="n">
        <f aca="false">COUNTIFS(記録シート!$D$2:$D$79,"携帯ゲーム機",記録シート!$G$2:$G$79,"&lt;&gt;")</f>
        <v>0</v>
      </c>
      <c r="C18" s="11" t="n">
        <f aca="false">COUNTIFS(記録シート!$D$2:$D$79,"携帯ゲーム機",記録シート!$K$2:$K$79,"○")</f>
        <v>0</v>
      </c>
      <c r="D18" s="25" t="str">
        <f aca="false">IF(B18=0,"-",C18/B18)</f>
        <v>-</v>
      </c>
      <c r="E18" s="11" t="n">
        <f aca="false">COUNTIFS(記録シート!$D$2:$D$79,"携帯ゲーム機",記録シート!$L$2:$L$79,"○")</f>
        <v>0</v>
      </c>
      <c r="F18" s="25" t="str">
        <f aca="false">IF(B18=0,"-",E18/B18)</f>
        <v>-</v>
      </c>
    </row>
    <row r="19" customFormat="false" ht="15" hidden="false" customHeight="false" outlineLevel="0" collapsed="false">
      <c r="A19" s="11" t="s">
        <v>64</v>
      </c>
      <c r="B19" s="11" t="n">
        <f aca="false">COUNTIFS(記録シート!$D$2:$D$79,"その他小型家電",記録シート!$G$2:$G$79,"&lt;&gt;")</f>
        <v>0</v>
      </c>
      <c r="C19" s="11" t="n">
        <f aca="false">COUNTIFS(記録シート!$D$2:$D$79,"その他小型家電",記録シート!$K$2:$K$79,"○")</f>
        <v>0</v>
      </c>
      <c r="D19" s="25" t="str">
        <f aca="false">IF(B19=0,"-",C19/B19)</f>
        <v>-</v>
      </c>
      <c r="E19" s="11" t="n">
        <f aca="false">COUNTIFS(記録シート!$D$2:$D$79,"その他小型家電",記録シート!$L$2:$L$79,"○")</f>
        <v>0</v>
      </c>
      <c r="F19" s="25" t="str">
        <f aca="false">IF(B19=0,"-",E19/B19)</f>
        <v>-</v>
      </c>
    </row>
    <row r="21" customFormat="false" ht="15" hidden="false" customHeight="false" outlineLevel="0" collapsed="false">
      <c r="A21" s="4" t="s">
        <v>85</v>
      </c>
    </row>
    <row r="22" customFormat="false" ht="15" hidden="false" customHeight="false" outlineLevel="0" collapsed="false">
      <c r="A22" s="2" t="s">
        <v>80</v>
      </c>
      <c r="B22" s="2" t="n">
        <f aca="false">COUNTIFS(記録シート!$D$2:$D$79,"対象外(非端末)",記録シート!$G$2:$G$79,"&lt;&gt;")</f>
        <v>0</v>
      </c>
    </row>
    <row r="23" customFormat="false" ht="15" hidden="false" customHeight="false" outlineLevel="0" collapsed="false">
      <c r="A23" s="2" t="s">
        <v>86</v>
      </c>
      <c r="B23" s="2" t="n">
        <f aca="false">COUNTIFS(記録シート!$D$2:$D$79,"対象外(非端末)",記録シート!$H$2:$H$79,"&gt;=70",記録シート!$G$2:$G$79,"&lt;&gt;その他小型家電",記録シート!$G$2:$G$79,"&lt;&gt;該当なし",記録シート!$G$2:$G$79,"&lt;&gt;")</f>
        <v>0</v>
      </c>
    </row>
    <row r="24" customFormat="false" ht="15" hidden="false" customHeight="false" outlineLevel="0" collapsed="false">
      <c r="A24" s="2" t="s">
        <v>87</v>
      </c>
      <c r="B24" s="22" t="str">
        <f aca="false">IF(B22=0,"-",B23/B22)</f>
        <v>-</v>
      </c>
    </row>
    <row r="25" customFormat="false" ht="15" hidden="false" customHeight="false" outlineLevel="0" collapsed="false">
      <c r="A25" s="4" t="s">
        <v>88</v>
      </c>
      <c r="B25" s="2" t="str">
        <f aca="false">IF(B22=0,"未実施",IF(B24&lt;=0.05,"合格","不合格"))</f>
        <v>未実施</v>
      </c>
    </row>
    <row r="27" customFormat="false" ht="15" hidden="false" customHeight="false" outlineLevel="0" collapsed="false">
      <c r="A27" s="4" t="s">
        <v>89</v>
      </c>
    </row>
    <row r="28" customFormat="false" ht="15" hidden="false" customHeight="false" outlineLevel="0" collapsed="false">
      <c r="A28" s="2" t="s">
        <v>90</v>
      </c>
      <c r="B28" s="2" t="n">
        <f aca="false">COUNTIF(記録シート!$N$2:$N$79,"～3秒")</f>
        <v>0</v>
      </c>
    </row>
    <row r="29" customFormat="false" ht="15" hidden="false" customHeight="false" outlineLevel="0" collapsed="false">
      <c r="A29" s="3" t="s">
        <v>91</v>
      </c>
      <c r="B29" s="2" t="n">
        <f aca="false">COUNTIF(記録シート!$N$2:$N$79,"3～5秒")</f>
        <v>0</v>
      </c>
    </row>
    <row r="30" customFormat="false" ht="15" hidden="false" customHeight="false" outlineLevel="0" collapsed="false">
      <c r="A30" s="3" t="s">
        <v>92</v>
      </c>
      <c r="B30" s="2" t="n">
        <f aca="false">COUNTIF(記録シート!$N$2:$N$79,"5秒以上")</f>
        <v>0</v>
      </c>
    </row>
    <row r="31" customFormat="false" ht="15" hidden="false" customHeight="false" outlineLevel="0" collapsed="false">
      <c r="A31" s="2" t="s">
        <v>93</v>
      </c>
      <c r="B31" s="22" t="str">
        <f aca="false">IF(SUM(B28:B30)=0,"-",B30/SUM(B28:B30))</f>
        <v>-</v>
      </c>
    </row>
    <row r="32" customFormat="false" ht="15" hidden="false" customHeight="false" outlineLevel="0" collapsed="false">
      <c r="A32" s="4" t="s">
        <v>94</v>
      </c>
      <c r="B32" s="2" t="str">
        <f aca="false">IF(SUM(B28:B30)=0,"未実施",IF(B31&lt;=0.2,"合格","不合格"))</f>
        <v>未実施</v>
      </c>
    </row>
    <row r="34" customFormat="false" ht="15" hidden="false" customHeight="false" outlineLevel="0" collapsed="false">
      <c r="A34" s="4" t="s">
        <v>95</v>
      </c>
    </row>
    <row r="35" customFormat="false" ht="15" hidden="false" customHeight="false" outlineLevel="0" collapsed="false">
      <c r="A35" s="2" t="s">
        <v>96</v>
      </c>
      <c r="B35" s="2" t="str">
        <f aca="false">IF(COUNTIF(記録シート!G16:G18,"&lt;&gt;")&lt;3,"未実施",IF(AND(記録シート!G16=記録シート!G17,記録シート!G17=記録シート!G18),"ブレなし","ブレあり"))</f>
        <v>未実施</v>
      </c>
    </row>
    <row r="36" customFormat="false" ht="15" hidden="false" customHeight="false" outlineLevel="0" collapsed="false">
      <c r="A36" s="2" t="s">
        <v>97</v>
      </c>
      <c r="B36" s="2" t="str">
        <f aca="false">IF(COUNTIF(記録シート!G37:G39,"&lt;&gt;")&lt;3,"未実施",IF(AND(記録シート!G37=記録シート!G38,記録シート!G38=記録シート!G39),"ブレなし","ブレあり"))</f>
        <v>未実施</v>
      </c>
    </row>
    <row r="37" customFormat="false" ht="15" hidden="false" customHeight="false" outlineLevel="0" collapsed="false">
      <c r="A37" s="2" t="s">
        <v>98</v>
      </c>
      <c r="B37" s="2" t="str">
        <f aca="false">IF(COUNTIF(記録シート!G58:G60,"&lt;&gt;")&lt;3,"未実施",IF(AND(記録シート!G58=記録シート!G59,記録シート!G59=記録シート!G60),"ブレなし","ブレあり"))</f>
        <v>未実施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2026-07-08T13:31:29Z</dcterms:created>
  <dc:creator>openpyxl</dc:creator>
  <dc:description/>
  <dc:language>ja-JP</dc:language>
  <cp:lastModifiedBy/>
  <dcterms:modified xsi:type="dcterms:W3CDTF">2026-07-08T13:31:29Z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